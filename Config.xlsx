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4" documentId="8_{2B1AC583-5465-480E-8734-C5520FEC8B6F}" xr6:coauthVersionLast="47" xr6:coauthVersionMax="47" xr10:uidLastSave="{BA2A6892-6EE2-460E-8E52-BAF359F83BFE}"/>
  <bookViews>
    <workbookView xWindow="29040" yWindow="3195" windowWidth="21600" windowHeight="13545" xr2:uid="{F0613D2D-2141-47EF-8F8E-77ECD01D07A2}"/>
  </bookViews>
  <sheets>
    <sheet name="pitch_ancho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5" i="1" l="1"/>
  <c r="Q16" i="1" s="1"/>
  <c r="Q17" i="1" s="1"/>
  <c r="Q18" i="1" s="1"/>
  <c r="Q14" i="1"/>
  <c r="O15" i="1"/>
  <c r="O16" i="1" s="1"/>
  <c r="O17" i="1" s="1"/>
  <c r="O18" i="1" s="1"/>
  <c r="O14" i="1"/>
  <c r="P12" i="1" a="1"/>
  <c r="P12" i="1" s="1"/>
  <c r="N12" i="1" a="1"/>
  <c r="N12" i="1" s="1"/>
  <c r="L12" i="1" a="1"/>
  <c r="L12" i="1" s="1"/>
  <c r="J12" i="1" a="1"/>
  <c r="J12" i="1" s="1"/>
  <c r="P10" i="1"/>
  <c r="P9" i="1"/>
  <c r="N10" i="1"/>
  <c r="N9" i="1"/>
  <c r="L10" i="1"/>
  <c r="L9" i="1"/>
  <c r="J10" i="1"/>
  <c r="J9" i="1"/>
  <c r="P7" i="1"/>
  <c r="P4" i="1"/>
  <c r="N4" i="1"/>
  <c r="L4" i="1"/>
  <c r="J4" i="1"/>
  <c r="Q5" i="1"/>
  <c r="M5" i="1"/>
  <c r="K5" i="1"/>
  <c r="H7" i="1"/>
  <c r="H6" i="1"/>
  <c r="H5" i="1"/>
  <c r="H4" i="1"/>
  <c r="H3" i="1"/>
  <c r="H2" i="1"/>
  <c r="Q3" i="1"/>
  <c r="Q4" i="1" s="1"/>
  <c r="O4" i="1"/>
  <c r="O7" i="1"/>
  <c r="M3" i="1"/>
  <c r="M4" i="1" s="1"/>
  <c r="K3" i="1"/>
  <c r="K4" i="1" s="1"/>
  <c r="D15" i="1"/>
  <c r="D16" i="1" s="1"/>
  <c r="F15" i="1"/>
  <c r="F16" i="1" s="1"/>
  <c r="F17" i="1" s="1"/>
  <c r="F18" i="1" s="1"/>
  <c r="E15" i="1"/>
  <c r="E16" i="1" s="1"/>
  <c r="E17" i="1" s="1"/>
  <c r="E18" i="1" s="1"/>
  <c r="F12" i="1"/>
  <c r="F13" i="1" s="1"/>
  <c r="E13" i="1"/>
  <c r="E12" i="1"/>
  <c r="D12" i="1"/>
  <c r="D13" i="1" s="1"/>
  <c r="C12" i="1"/>
  <c r="F9" i="1"/>
  <c r="F10" i="1" s="1"/>
  <c r="E10" i="1"/>
  <c r="E9" i="1"/>
  <c r="D9" i="1"/>
  <c r="D10" i="1" s="1"/>
  <c r="C9" i="1"/>
  <c r="E4" i="1"/>
  <c r="E3" i="1"/>
  <c r="C7" i="1"/>
  <c r="E7" i="1"/>
  <c r="D6" i="1"/>
  <c r="D4" i="1"/>
  <c r="F3" i="1"/>
  <c r="F4" i="1" s="1"/>
  <c r="D3" i="1"/>
  <c r="C3" i="1"/>
  <c r="C4" i="1" s="1"/>
  <c r="J8" i="1" l="1" a="1"/>
  <c r="M9" i="1" s="1"/>
  <c r="M10" i="1" s="1"/>
  <c r="Q6" i="1"/>
  <c r="Q7" i="1" s="1"/>
  <c r="O10" i="1"/>
  <c r="K6" i="1"/>
  <c r="K7" i="1" s="1"/>
  <c r="M6" i="1"/>
  <c r="M7" i="1" s="1"/>
  <c r="C10" i="1"/>
  <c r="C13" i="1"/>
  <c r="K9" i="1" l="1"/>
  <c r="K10" i="1" s="1"/>
  <c r="Q9" i="1"/>
  <c r="Q10" i="1" s="1"/>
  <c r="J8" i="1"/>
  <c r="J11" i="1" s="1" a="1"/>
  <c r="J11" i="1" s="1"/>
  <c r="O13" i="1"/>
  <c r="K12" i="1" l="1"/>
  <c r="K13" i="1" s="1"/>
  <c r="M12" i="1"/>
  <c r="M13" i="1" s="1"/>
  <c r="Q12" i="1"/>
  <c r="Q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<sst xmlns="http://schemas.openxmlformats.org/spreadsheetml/2006/main" count="70" uniqueCount="54">
  <si>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</si>
  <si>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</si>
  <si>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</si>
  <si>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</si>
  <si>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</si>
  <si>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</si>
  <si>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</si>
  <si>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</si>
  <si>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</si>
  <si>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</si>
  <si>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</si>
  <si>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</si>
  <si>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</si>
  <si>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</si>
  <si>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</si>
  <si>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</si>
  <si>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</si>
  <si>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</si>
  <si>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</si>
  <si>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</si>
  <si>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</si>
  <si>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</si>
  <si>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</si>
  <si>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</si>
  <si>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</si>
  <si>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</si>
  <si>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</si>
  <si>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</si>
  <si>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5B</t>
  </si>
  <si>
    <t>5C</t>
  </si>
  <si>
    <t>5D</t>
  </si>
  <si>
    <t>5E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</si>
  <si>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</si>
  <si>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</si>
  <si>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</si>
  <si>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</si>
  <si>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</si>
  <si>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</si>
  <si>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</si>
  <si>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</si>
  <si>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</si>
  <si>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</si>
  <si>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</si>
  <si>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</si>
  <si>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</si>
  <si>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</si>
  <si>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</si>
  <si>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</si>
  <si>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</si>
  <si>
    <t>WARRIORS_PITCH5A_WHOLE.png</t>
  </si>
  <si>
    <t>WARRIORS_PITCH5B_WHOLE.png</t>
  </si>
  <si>
    <t>WARRIORS_PITCH5C_WHOLE.png</t>
  </si>
  <si>
    <t>WARRIORS_PITCH5D_WHOLE.png</t>
  </si>
  <si>
    <t>WARRIORS_PITCH5E_WHOLE.png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</si>
</sst>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tabSelected="1" workbookViewId="0">
      <selection activeCell="G15" sqref="A1:Q1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</cols>
  <sheetData>
    <row r="1" spans="1:17" x14ac:dyDescent="0.25">
      <c r="A1" t="s">
        <v>0</v>
      </c>
      <c r="B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2</v>
      </c>
      <c r="H1" s="1" t="s">
        <v>48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f>G2</f>
        <v>0</v>
      </c>
      <c r="I2" s="1">
        <v>1.08</v>
      </c>
      <c r="J2" s="1">
        <v>23.1</v>
      </c>
      <c r="K2" t="s">
        <v>45</v>
      </c>
      <c r="L2" s="1">
        <v>16.100000000000001</v>
      </c>
      <c r="M2" t="s">
        <v>46</v>
      </c>
      <c r="N2" s="1">
        <v>19.100000000000001</v>
      </c>
      <c r="O2" t="s">
        <v>45</v>
      </c>
      <c r="P2" s="2">
        <v>13.1</v>
      </c>
      <c r="Q2" t="s">
        <v>46</v>
      </c>
    </row>
    <row r="3" spans="1:17" x14ac:dyDescent="0.25">
      <c r="A3" t="s">
        <v>5</v>
      </c>
      <c r="B3" t="s">
        <v>6</v>
      </c>
      <c r="C3" s="1">
        <f>C2</f>
        <v>65.599999999999994</v>
      </c>
      <c r="D3" s="1">
        <f>D2</f>
        <v>101.5</v>
      </c>
      <c r="E3" s="1">
        <f>E2/2</f>
        <v>167.9</v>
      </c>
      <c r="F3" s="1">
        <f>F2</f>
        <v>200.1</v>
      </c>
      <c r="G3" s="1">
        <v>0</v>
      </c>
      <c r="H3" s="1">
        <f>G3</f>
        <v>0</v>
      </c>
      <c r="I3" s="1">
        <v>1.08</v>
      </c>
      <c r="J3" s="1">
        <v>19.3</v>
      </c>
      <c r="K3" t="str">
        <f>K2</f>
        <v>Bold</v>
      </c>
      <c r="L3" s="1">
        <v>13.5</v>
      </c>
      <c r="M3" t="str">
        <f>M2</f>
        <v>Regular</v>
      </c>
      <c r="N3" s="1">
        <v>16</v>
      </c>
      <c r="O3" t="s">
        <v>47</v>
      </c>
      <c r="P3" s="2">
        <v>11</v>
      </c>
      <c r="Q3" t="str">
        <f>Q2</f>
        <v>Regular</v>
      </c>
    </row>
    <row r="4" spans="1:17" x14ac:dyDescent="0.25">
      <c r="A4" t="s">
        <v>7</v>
      </c>
      <c r="B4" t="s">
        <v>8</v>
      </c>
      <c r="C4" s="1">
        <f>E4+C3</f>
        <v>233.5</v>
      </c>
      <c r="D4" s="1">
        <f>D3</f>
        <v>101.5</v>
      </c>
      <c r="E4" s="1">
        <f>E2/2</f>
        <v>167.9</v>
      </c>
      <c r="F4" s="1">
        <f>F3</f>
        <v>200.1</v>
      </c>
      <c r="G4" s="1">
        <v>0</v>
      </c>
      <c r="H4" s="1">
        <f>G4</f>
        <v>0</v>
      </c>
      <c r="I4" s="1">
        <v>1.08</v>
      </c>
      <c r="J4" s="2">
        <f>J3</f>
        <v>19.3</v>
      </c>
      <c r="K4" t="str">
        <f>K3</f>
        <v>Bold</v>
      </c>
      <c r="L4" s="2">
        <f>L3</f>
        <v>13.5</v>
      </c>
      <c r="M4" t="str">
        <f>M3</f>
        <v>Regular</v>
      </c>
      <c r="N4" s="2">
        <f>N3</f>
        <v>16</v>
      </c>
      <c r="O4" t="str">
        <f>O3</f>
        <v>SemiBold</v>
      </c>
      <c r="P4" s="2">
        <f>P3</f>
        <v>11</v>
      </c>
      <c r="Q4" t="str">
        <f>Q3</f>
        <v>Regular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f>G5+90</f>
        <v>28.799999999999997</v>
      </c>
      <c r="I5" s="1">
        <v>1.08</v>
      </c>
      <c r="J5" s="2">
        <v>21.3</v>
      </c>
      <c r="K5" t="str">
        <f>K4</f>
        <v>Bold</v>
      </c>
      <c r="L5" s="2">
        <v>15.5</v>
      </c>
      <c r="M5" t="str">
        <f>M4</f>
        <v>Regular</v>
      </c>
      <c r="N5" s="2">
        <v>18</v>
      </c>
      <c r="O5" t="s">
        <v>45</v>
      </c>
      <c r="P5" s="2">
        <v>13.5</v>
      </c>
      <c r="Q5" t="str">
        <f>Q4</f>
        <v>Regular</v>
      </c>
    </row>
    <row r="6" spans="1:17" x14ac:dyDescent="0.25">
      <c r="A6" t="s">
        <v>11</v>
      </c>
      <c r="B6" t="s">
        <v>12</v>
      </c>
      <c r="C6" s="1">
        <v>451.4</v>
      </c>
      <c r="D6" s="1">
        <f>D5</f>
        <v>249.7</v>
      </c>
      <c r="E6" s="1">
        <v>130.30000000000001</v>
      </c>
      <c r="F6" s="1">
        <v>194.8</v>
      </c>
      <c r="G6" s="1">
        <v>-61.2</v>
      </c>
      <c r="H6" s="1">
        <f>G6+90</f>
        <v>28.799999999999997</v>
      </c>
      <c r="I6" s="1">
        <v>1.08</v>
      </c>
      <c r="J6" s="2">
        <v>16.600000000000001</v>
      </c>
      <c r="K6" t="str">
        <f>K5</f>
        <v>Bold</v>
      </c>
      <c r="L6">
        <v>12.1</v>
      </c>
      <c r="M6" t="str">
        <f>M5</f>
        <v>Regular</v>
      </c>
      <c r="N6">
        <v>14</v>
      </c>
      <c r="O6" t="s">
        <v>47</v>
      </c>
      <c r="P6" s="2">
        <v>10.7</v>
      </c>
      <c r="Q6" t="str">
        <f>Q5</f>
        <v>Regular</v>
      </c>
    </row>
    <row r="7" spans="1:17" x14ac:dyDescent="0.25">
      <c r="A7" t="s">
        <v>13</v>
      </c>
      <c r="B7" t="s">
        <v>14</v>
      </c>
      <c r="C7" s="1">
        <f>C5</f>
        <v>388.6</v>
      </c>
      <c r="D7" s="1">
        <v>363.9</v>
      </c>
      <c r="E7" s="1">
        <f>E6</f>
        <v>130.30000000000001</v>
      </c>
      <c r="F7" s="1">
        <v>194.8</v>
      </c>
      <c r="G7" s="1">
        <v>-61.2</v>
      </c>
      <c r="H7" s="1">
        <f>G7+90</f>
        <v>28.799999999999997</v>
      </c>
      <c r="I7" s="1">
        <v>1.08</v>
      </c>
      <c r="J7" s="2">
        <v>16.600000000000001</v>
      </c>
      <c r="K7" t="str">
        <f>K6</f>
        <v>Bold</v>
      </c>
      <c r="L7">
        <v>12.1</v>
      </c>
      <c r="M7" t="str">
        <f>M6</f>
        <v>Regular</v>
      </c>
      <c r="N7">
        <v>14</v>
      </c>
      <c r="O7" t="str">
        <f>O6</f>
        <v>SemiBold</v>
      </c>
      <c r="P7" s="2">
        <f>P6</f>
        <v>10.7</v>
      </c>
      <c r="Q7" t="str">
        <f>Q6</f>
        <v>Regular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2" cm="1">
        <f t="array" ref="J8:Q8">J5:Q5</f>
        <v>21.3</v>
      </c>
      <c r="K8" t="str">
        <v>Bold</v>
      </c>
      <c r="L8">
        <v>15.5</v>
      </c>
      <c r="M8" t="str">
        <v>Regular</v>
      </c>
      <c r="N8">
        <v>18</v>
      </c>
      <c r="O8" t="str">
        <v>Bold</v>
      </c>
      <c r="P8">
        <v>13.5</v>
      </c>
      <c r="Q8" t="str">
        <v>Regular</v>
      </c>
    </row>
    <row r="9" spans="1:17" x14ac:dyDescent="0.25">
      <c r="A9" t="s">
        <v>17</v>
      </c>
      <c r="B9" t="s">
        <v>18</v>
      </c>
      <c r="C9" s="1">
        <f>C8</f>
        <v>80</v>
      </c>
      <c r="D9" s="1">
        <f>D8</f>
        <v>325.5</v>
      </c>
      <c r="E9" s="1">
        <f>E8/2</f>
        <v>152.35</v>
      </c>
      <c r="F9" s="1">
        <f>F8</f>
        <v>194.8</v>
      </c>
      <c r="G9" s="1">
        <v>0</v>
      </c>
      <c r="H9" s="1">
        <v>0</v>
      </c>
      <c r="I9" s="1">
        <v>1.08</v>
      </c>
      <c r="J9" s="2">
        <f>J3</f>
        <v>19.3</v>
      </c>
      <c r="K9" t="str">
        <f>K8</f>
        <v>Bold</v>
      </c>
      <c r="L9" s="2">
        <f>L3</f>
        <v>13.5</v>
      </c>
      <c r="M9" t="str">
        <f>M8</f>
        <v>Regular</v>
      </c>
      <c r="N9" s="2">
        <f>N3</f>
        <v>16</v>
      </c>
      <c r="O9" t="s">
        <v>47</v>
      </c>
      <c r="P9" s="2">
        <f>P3</f>
        <v>11</v>
      </c>
      <c r="Q9" t="str">
        <f>Q8</f>
        <v>Regular</v>
      </c>
    </row>
    <row r="10" spans="1:17" x14ac:dyDescent="0.25">
      <c r="A10" t="s">
        <v>19</v>
      </c>
      <c r="B10" t="s">
        <v>20</v>
      </c>
      <c r="C10" s="1">
        <f>E10+C9</f>
        <v>232.35</v>
      </c>
      <c r="D10" s="1">
        <f>D9</f>
        <v>325.5</v>
      </c>
      <c r="E10" s="1">
        <f>E8/2</f>
        <v>152.35</v>
      </c>
      <c r="F10" s="1">
        <f>F9</f>
        <v>194.8</v>
      </c>
      <c r="G10" s="1">
        <v>0</v>
      </c>
      <c r="H10" s="1">
        <v>0</v>
      </c>
      <c r="I10" s="1">
        <v>1.08</v>
      </c>
      <c r="J10" s="2">
        <f>J4</f>
        <v>19.3</v>
      </c>
      <c r="K10" t="str">
        <f>K9</f>
        <v>Bold</v>
      </c>
      <c r="L10" s="2">
        <f>L4</f>
        <v>13.5</v>
      </c>
      <c r="M10" t="str">
        <f>M9</f>
        <v>Regular</v>
      </c>
      <c r="N10" s="2">
        <f>N4</f>
        <v>16</v>
      </c>
      <c r="O10" t="str">
        <f>O9</f>
        <v>SemiBold</v>
      </c>
      <c r="P10" s="2">
        <f>P4</f>
        <v>11</v>
      </c>
      <c r="Q10" t="str">
        <f>Q9</f>
        <v>Regular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2" cm="1">
        <f t="array" ref="J11:Q11">J8:Q8</f>
        <v>21.3</v>
      </c>
      <c r="K11" t="str">
        <v>Bold</v>
      </c>
      <c r="L11">
        <v>15.5</v>
      </c>
      <c r="M11" t="str">
        <v>Regular</v>
      </c>
      <c r="N11">
        <v>18</v>
      </c>
      <c r="O11" t="str">
        <v>Bold</v>
      </c>
      <c r="P11">
        <v>13.5</v>
      </c>
      <c r="Q11" t="str">
        <v>Regular</v>
      </c>
    </row>
    <row r="12" spans="1:17" x14ac:dyDescent="0.25">
      <c r="A12" t="s">
        <v>23</v>
      </c>
      <c r="B12" t="s">
        <v>24</v>
      </c>
      <c r="C12" s="1">
        <f>C11</f>
        <v>117.3</v>
      </c>
      <c r="D12" s="1">
        <f>D11</f>
        <v>535.1</v>
      </c>
      <c r="E12" s="1">
        <f>E11/2</f>
        <v>154.6</v>
      </c>
      <c r="F12" s="1">
        <f>F11</f>
        <v>191</v>
      </c>
      <c r="G12" s="1">
        <v>0</v>
      </c>
      <c r="H12" s="1">
        <v>0</v>
      </c>
      <c r="I12" s="1">
        <v>1.08</v>
      </c>
      <c r="J12" s="2" cm="1">
        <f t="array" ref="J12:J13">J9:J10</f>
        <v>19.3</v>
      </c>
      <c r="K12" t="str">
        <f>K11</f>
        <v>Bold</v>
      </c>
      <c r="L12" s="2" cm="1">
        <f t="array" ref="L12:L13">L9:L10</f>
        <v>13.5</v>
      </c>
      <c r="M12" t="str">
        <f>M11</f>
        <v>Regular</v>
      </c>
      <c r="N12" s="2" cm="1">
        <f t="array" ref="N12:N13">N9:N10</f>
        <v>16</v>
      </c>
      <c r="O12" t="s">
        <v>47</v>
      </c>
      <c r="P12" s="2" cm="1">
        <f t="array" ref="P12:P13">P9:P10</f>
        <v>11</v>
      </c>
      <c r="Q12" t="str">
        <f>Q11</f>
        <v>Regular</v>
      </c>
    </row>
    <row r="13" spans="1:17" x14ac:dyDescent="0.25">
      <c r="A13" t="s">
        <v>25</v>
      </c>
      <c r="B13" t="s">
        <v>26</v>
      </c>
      <c r="C13" s="1">
        <f>E13+C12</f>
        <v>271.89999999999998</v>
      </c>
      <c r="D13" s="1">
        <f>D12</f>
        <v>535.1</v>
      </c>
      <c r="E13" s="1">
        <f>E11/2</f>
        <v>154.6</v>
      </c>
      <c r="F13" s="1">
        <f>F12</f>
        <v>191</v>
      </c>
      <c r="G13" s="1">
        <v>0</v>
      </c>
      <c r="H13" s="1">
        <v>0</v>
      </c>
      <c r="I13" s="1">
        <v>1.08</v>
      </c>
      <c r="J13">
        <v>19.3</v>
      </c>
      <c r="K13" t="str">
        <f>K12</f>
        <v>Bold</v>
      </c>
      <c r="L13">
        <v>13.5</v>
      </c>
      <c r="M13" t="str">
        <f>M12</f>
        <v>Regular</v>
      </c>
      <c r="N13">
        <v>16</v>
      </c>
      <c r="O13" t="str">
        <f>O12</f>
        <v>SemiBold</v>
      </c>
      <c r="P13" s="2">
        <v>11</v>
      </c>
      <c r="Q13" t="str">
        <f>Q12</f>
        <v>Regular</v>
      </c>
    </row>
    <row r="14" spans="1:17" x14ac:dyDescent="0.25">
      <c r="A14" t="s">
        <v>27</v>
      </c>
      <c r="B14" t="s">
        <v>49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0</v>
      </c>
      <c r="I14" s="1">
        <v>1.08</v>
      </c>
      <c r="J14">
        <v>10.199999999999999</v>
      </c>
      <c r="K14" t="s">
        <v>45</v>
      </c>
      <c r="L14">
        <v>7.7</v>
      </c>
      <c r="M14" t="s">
        <v>46</v>
      </c>
      <c r="N14">
        <v>8.8000000000000007</v>
      </c>
      <c r="O14" t="str">
        <f t="shared" ref="O14:O18" si="0">O13</f>
        <v>SemiBold</v>
      </c>
      <c r="P14">
        <v>7</v>
      </c>
      <c r="Q14" t="str">
        <f t="shared" ref="Q14:Q18" si="1">Q13</f>
        <v>Regular</v>
      </c>
    </row>
    <row r="15" spans="1:17" x14ac:dyDescent="0.25">
      <c r="A15" t="s">
        <v>28</v>
      </c>
      <c r="B15" t="s">
        <v>50</v>
      </c>
      <c r="C15" s="1">
        <v>232.8</v>
      </c>
      <c r="D15" s="1">
        <f t="shared" ref="D15:F16" si="2">D14</f>
        <v>748.1</v>
      </c>
      <c r="E15" s="1">
        <f t="shared" si="2"/>
        <v>85.7</v>
      </c>
      <c r="F15" s="1">
        <f t="shared" si="2"/>
        <v>125.4</v>
      </c>
      <c r="G15" s="1">
        <v>0</v>
      </c>
      <c r="H15" s="1">
        <v>0</v>
      </c>
      <c r="I15" s="1">
        <v>1.08</v>
      </c>
      <c r="J15">
        <v>10.199999999999999</v>
      </c>
      <c r="K15" t="s">
        <v>45</v>
      </c>
      <c r="L15">
        <v>7.7</v>
      </c>
      <c r="M15" t="s">
        <v>46</v>
      </c>
      <c r="N15">
        <v>8.8000000000000007</v>
      </c>
      <c r="O15" t="str">
        <f t="shared" si="0"/>
        <v>SemiBold</v>
      </c>
      <c r="P15">
        <v>7</v>
      </c>
      <c r="Q15" t="str">
        <f t="shared" si="1"/>
        <v>Regular</v>
      </c>
    </row>
    <row r="16" spans="1:17" x14ac:dyDescent="0.25">
      <c r="A16" t="s">
        <v>29</v>
      </c>
      <c r="B16" t="s">
        <v>51</v>
      </c>
      <c r="C16" s="1">
        <v>328.5</v>
      </c>
      <c r="D16" s="1">
        <f t="shared" si="2"/>
        <v>748.1</v>
      </c>
      <c r="E16" s="1">
        <f t="shared" si="2"/>
        <v>85.7</v>
      </c>
      <c r="F16" s="1">
        <f t="shared" si="2"/>
        <v>125.4</v>
      </c>
      <c r="G16" s="1">
        <v>0</v>
      </c>
      <c r="H16" s="1">
        <v>0</v>
      </c>
      <c r="I16" s="1">
        <v>1.08</v>
      </c>
      <c r="J16">
        <v>10.199999999999999</v>
      </c>
      <c r="K16" t="s">
        <v>45</v>
      </c>
      <c r="L16">
        <v>7.7</v>
      </c>
      <c r="M16" t="s">
        <v>46</v>
      </c>
      <c r="N16">
        <v>8.8000000000000007</v>
      </c>
      <c r="O16" t="str">
        <f t="shared" si="0"/>
        <v>SemiBold</v>
      </c>
      <c r="P16">
        <v>7</v>
      </c>
      <c r="Q16" t="str">
        <f t="shared" si="1"/>
        <v>Regular</v>
      </c>
    </row>
    <row r="17" spans="1:17" x14ac:dyDescent="0.25">
      <c r="A17" t="s">
        <v>30</v>
      </c>
      <c r="B17" t="s">
        <v>52</v>
      </c>
      <c r="C17" s="1">
        <v>173.1</v>
      </c>
      <c r="D17" s="1">
        <v>883.5</v>
      </c>
      <c r="E17" s="1">
        <f>E16</f>
        <v>85.7</v>
      </c>
      <c r="F17" s="1">
        <f>F16</f>
        <v>125.4</v>
      </c>
      <c r="G17" s="1">
        <v>0</v>
      </c>
      <c r="H17" s="1">
        <v>0</v>
      </c>
      <c r="I17" s="1">
        <v>1.08</v>
      </c>
      <c r="J17">
        <v>10.199999999999999</v>
      </c>
      <c r="K17" t="s">
        <v>45</v>
      </c>
      <c r="L17">
        <v>7.7</v>
      </c>
      <c r="M17" t="s">
        <v>46</v>
      </c>
      <c r="N17">
        <v>8.8000000000000007</v>
      </c>
      <c r="O17" t="str">
        <f t="shared" si="0"/>
        <v>SemiBold</v>
      </c>
      <c r="P17">
        <v>7</v>
      </c>
      <c r="Q17" t="str">
        <f t="shared" si="1"/>
        <v>Regular</v>
      </c>
    </row>
    <row r="18" spans="1:17" x14ac:dyDescent="0.25">
      <c r="A18" t="s">
        <v>31</v>
      </c>
      <c r="B18" t="s">
        <v>53</v>
      </c>
      <c r="C18" s="1">
        <v>266.8</v>
      </c>
      <c r="D18" s="1">
        <v>883.5</v>
      </c>
      <c r="E18" s="1">
        <f>E17</f>
        <v>85.7</v>
      </c>
      <c r="F18" s="1">
        <f>F17</f>
        <v>125.4</v>
      </c>
      <c r="G18" s="1">
        <v>0</v>
      </c>
      <c r="H18" s="1">
        <v>0</v>
      </c>
      <c r="I18" s="1">
        <v>1.08</v>
      </c>
      <c r="J18">
        <v>10.199999999999999</v>
      </c>
      <c r="K18" t="s">
        <v>45</v>
      </c>
      <c r="L18">
        <v>7.7</v>
      </c>
      <c r="M18" t="s">
        <v>46</v>
      </c>
      <c r="N18">
        <v>8.8000000000000007</v>
      </c>
      <c r="O18" t="str">
        <f t="shared" si="0"/>
        <v>SemiBold</v>
      </c>
      <c r="P18">
        <v>7</v>
      </c>
      <c r="Q18" t="str">
        <f t="shared" si="1"/>
        <v>Regular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pitch_anchors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2026-09-01T15:47:25Z</dcterms:modified>
</cp:coreProperties>
</file>
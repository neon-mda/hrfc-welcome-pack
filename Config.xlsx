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abb604d7086dfb/Documents/GitHub/hrfc-welcome-pack/"/>
    </mc:Choice>
  </mc:AlternateContent>
  <xr:revisionPtr revIDLastSave="317" documentId="8_{2B1AC583-5465-480E-8734-C5520FEC8B6F}" xr6:coauthVersionLast="47" xr6:coauthVersionMax="47" xr10:uidLastSave="{4D91E805-9286-4AA7-B916-B4CB4363FD09}"/>
  <bookViews>
    <workbookView xWindow="-120" yWindow="-120" windowWidth="51840" windowHeight="21120" activeTab="1" xr2:uid="{F0613D2D-2141-47EF-8F8E-77ECD01D07A2}"/>
  </bookViews>
  <sheets>
    <sheet name="pitch_anchors" sheetId="1" r:id="rId1"/>
    <sheet name="opponents" sheetId="2" r:id="rId2"/>
    <sheet name="comps" sheetId="4" r:id="rId3"/>
    <sheet name="team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1" i="2" l="1"/>
  <c r="D48" i="2"/>
  <c r="D4" i="2"/>
  <c r="D5" i="2"/>
  <c r="D6" i="2"/>
  <c r="D7" i="2"/>
  <c r="D8" i="2"/>
  <c r="D10" i="2"/>
  <c r="D12" i="2"/>
  <c r="D17" i="2"/>
  <c r="D18" i="2"/>
  <c r="D19" i="2"/>
  <c r="D20" i="2"/>
  <c r="D21" i="2"/>
  <c r="D22" i="2"/>
  <c r="D24" i="2"/>
  <c r="D25" i="2"/>
  <c r="D27" i="2"/>
  <c r="D28" i="2"/>
  <c r="D30" i="2"/>
  <c r="D32" i="2"/>
  <c r="D34" i="2"/>
  <c r="D35" i="2"/>
  <c r="D36" i="2"/>
  <c r="D39" i="2"/>
  <c r="D40" i="2"/>
  <c r="D41" i="2"/>
  <c r="D43" i="2"/>
  <c r="D44" i="2"/>
  <c r="D45" i="2"/>
  <c r="D47" i="2"/>
  <c r="D2" i="2"/>
  <c r="G3" i="3"/>
  <c r="G2" i="3"/>
  <c r="F3" i="3"/>
  <c r="F2" i="3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2" i="1"/>
</calcChain>
</file>

<file path=xl/sharedStrings.xml><?xml version="1.0" encoding="utf-8"?>
<sst xmlns="http://schemas.openxmlformats.org/spreadsheetml/2006/main" count="378" uniqueCount="266">
  <si>
    <t>pitch_key</t>
  </si>
  <si>
    <t>base_image</t>
  </si>
  <si>
    <t>angle</t>
  </si>
  <si>
    <t>P1_WHOLE</t>
  </si>
  <si>
    <t>WARRIORS_PITCH1_WHOLE.png</t>
  </si>
  <si>
    <t>P1_LEFT</t>
  </si>
  <si>
    <t>WARRIORS_PITCH1_LEFT.png</t>
  </si>
  <si>
    <t>P1_RIGHT</t>
  </si>
  <si>
    <t>WARRIORS_PITCH1_RIGHT.png</t>
  </si>
  <si>
    <t>P2_WHOLE</t>
  </si>
  <si>
    <t>WARRIORS_PITCH2_WHOLE.png</t>
  </si>
  <si>
    <t>P2_TOP</t>
  </si>
  <si>
    <t>WARRIORS_PITCH2_TOP.png</t>
  </si>
  <si>
    <t>P2_BOTTOM</t>
  </si>
  <si>
    <t>WARRIORS_PITCH2_BOTTOM.png</t>
  </si>
  <si>
    <t>P3_WHOLE</t>
  </si>
  <si>
    <t>WARRIORS_PITCH3_WHOLE.png</t>
  </si>
  <si>
    <t>P3_LEFT</t>
  </si>
  <si>
    <t>WARRIORS_PITCH3_LEFT.png</t>
  </si>
  <si>
    <t>P3_RIGHT</t>
  </si>
  <si>
    <t>WARRIORS_PITCH3_RIGHT.png</t>
  </si>
  <si>
    <t>P4_WHOLE</t>
  </si>
  <si>
    <t>WARRIORS_PITCH4_WHOLE.png</t>
  </si>
  <si>
    <t>P4_LEFT</t>
  </si>
  <si>
    <t>WARRIORS_PITCH4_LEFT.png</t>
  </si>
  <si>
    <t>P4_RIGHT</t>
  </si>
  <si>
    <t>WARRIORS_PITCH4_RIGHT.png</t>
  </si>
  <si>
    <t>5A</t>
  </si>
  <si>
    <t>5B</t>
  </si>
  <si>
    <t>5C</t>
  </si>
  <si>
    <t>5D</t>
  </si>
  <si>
    <t>5E</t>
  </si>
  <si>
    <t>x</t>
  </si>
  <si>
    <t>y</t>
  </si>
  <si>
    <t>width</t>
  </si>
  <si>
    <t>height</t>
  </si>
  <si>
    <t>line_spacing</t>
  </si>
  <si>
    <t>l1_size</t>
  </si>
  <si>
    <t>l1_style</t>
  </si>
  <si>
    <t>l2_size</t>
  </si>
  <si>
    <t>l2_style</t>
  </si>
  <si>
    <t>l3_size</t>
  </si>
  <si>
    <t>l3_style</t>
  </si>
  <si>
    <t>l4_size</t>
  </si>
  <si>
    <t>l4_style</t>
  </si>
  <si>
    <t>Bold</t>
  </si>
  <si>
    <t>Regular</t>
  </si>
  <si>
    <t>SemiBold</t>
  </si>
  <si>
    <t>text_angle</t>
  </si>
  <si>
    <t>WARRIORS_PITCH5A_WHOLE.png</t>
  </si>
  <si>
    <t>WARRIORS_PITCH5B_WHOLE.png</t>
  </si>
  <si>
    <t>WARRIORS_PITCH5C_WHOLE.png</t>
  </si>
  <si>
    <t>WARRIORS_PITCH5D_WHOLE.png</t>
  </si>
  <si>
    <t>WARRIORS_PITCH5E_WHOLE.png</t>
  </si>
  <si>
    <t>display_name</t>
  </si>
  <si>
    <t>crest_asset_stem</t>
  </si>
  <si>
    <t>alias</t>
  </si>
  <si>
    <t>Banbury RFC</t>
  </si>
  <si>
    <t>Abbey</t>
  </si>
  <si>
    <t>ABBEY</t>
  </si>
  <si>
    <t>Banbury</t>
  </si>
  <si>
    <t>BANBURY</t>
  </si>
  <si>
    <t>Basingstoke</t>
  </si>
  <si>
    <t>BASINGSTOKE</t>
  </si>
  <si>
    <t>BEACONSFIELD</t>
  </si>
  <si>
    <t>Bracknell</t>
  </si>
  <si>
    <t>BRACKNELL</t>
  </si>
  <si>
    <t>Chinnor</t>
  </si>
  <si>
    <t>CHINNOR</t>
  </si>
  <si>
    <t>CHIPPING NORTON</t>
  </si>
  <si>
    <t>Cirencester</t>
  </si>
  <si>
    <t>CIRENCESTER</t>
  </si>
  <si>
    <t>Cricklade</t>
  </si>
  <si>
    <t>CRICKLADE</t>
  </si>
  <si>
    <t>DNQ</t>
  </si>
  <si>
    <t>ELLINGHAM &amp; RINGWOOD</t>
  </si>
  <si>
    <t>Faringdon</t>
  </si>
  <si>
    <t>FARINGDON</t>
  </si>
  <si>
    <t>Faringdon Festival</t>
  </si>
  <si>
    <t>Faringdon Fest</t>
  </si>
  <si>
    <t>FARINGDON FESTIVAL</t>
  </si>
  <si>
    <t>Farnham</t>
  </si>
  <si>
    <t>FARNHAM</t>
  </si>
  <si>
    <t>Grove</t>
  </si>
  <si>
    <t>GROVE</t>
  </si>
  <si>
    <t>Guernsey</t>
  </si>
  <si>
    <t>GUERNSEY</t>
  </si>
  <si>
    <t>Havant</t>
  </si>
  <si>
    <t>HAVANT</t>
  </si>
  <si>
    <t>Maidenhead</t>
  </si>
  <si>
    <t>MAIDENHEAD</t>
  </si>
  <si>
    <t>Newbury</t>
  </si>
  <si>
    <t>NEWBURY</t>
  </si>
  <si>
    <t>OAKMEDIANS</t>
  </si>
  <si>
    <t>Oxford</t>
  </si>
  <si>
    <t>OXFORD</t>
  </si>
  <si>
    <t>Quins</t>
  </si>
  <si>
    <t>OXFORD QUINS</t>
  </si>
  <si>
    <t>Petersfield</t>
  </si>
  <si>
    <t>PETERSFIELD</t>
  </si>
  <si>
    <t>Rams</t>
  </si>
  <si>
    <t>RAMS</t>
  </si>
  <si>
    <t>Reading</t>
  </si>
  <si>
    <t>READING</t>
  </si>
  <si>
    <t>Reading &amp; Abbey</t>
  </si>
  <si>
    <t>READING &amp; ABBEY</t>
  </si>
  <si>
    <t>RWB</t>
  </si>
  <si>
    <t>Salisbury</t>
  </si>
  <si>
    <t>SALISBURY</t>
  </si>
  <si>
    <t>Supermarine</t>
  </si>
  <si>
    <t>SUPERMARINE</t>
  </si>
  <si>
    <t>Swindon</t>
  </si>
  <si>
    <t>SWINDON</t>
  </si>
  <si>
    <t>Roses</t>
  </si>
  <si>
    <t>SWINDON ROSES</t>
  </si>
  <si>
    <t>Swindon Roses Festival</t>
  </si>
  <si>
    <t>Roses Fest</t>
  </si>
  <si>
    <t>SWINDON ROSES FESTIVAL</t>
  </si>
  <si>
    <t>Tadley</t>
  </si>
  <si>
    <t>TADLEY</t>
  </si>
  <si>
    <t>Thatcham</t>
  </si>
  <si>
    <t>THATCHAM</t>
  </si>
  <si>
    <t>Trojans</t>
  </si>
  <si>
    <t>TROJANS</t>
  </si>
  <si>
    <t>Wallingford</t>
  </si>
  <si>
    <t>WALLINGFORD</t>
  </si>
  <si>
    <t>Winchleigh</t>
  </si>
  <si>
    <t>WINCHLEIGH</t>
  </si>
  <si>
    <t>Windsor</t>
  </si>
  <si>
    <t>WINDSOR</t>
  </si>
  <si>
    <t>Worthing</t>
  </si>
  <si>
    <t>WORTHING</t>
  </si>
  <si>
    <t>Worthing Festival</t>
  </si>
  <si>
    <t>Worthing Fest</t>
  </si>
  <si>
    <t>WORTHING FESTIVAL</t>
  </si>
  <si>
    <t>Abbey RFC</t>
  </si>
  <si>
    <t>Basingstoke RFC</t>
  </si>
  <si>
    <t>Beaconsfield RFC</t>
  </si>
  <si>
    <t>Bracknell RFC</t>
  </si>
  <si>
    <t>Chinnor RFC</t>
  </si>
  <si>
    <t>Chipping Norton RFC</t>
  </si>
  <si>
    <t>Cirencester RFC</t>
  </si>
  <si>
    <t>Cricklade RFC</t>
  </si>
  <si>
    <t>Ellingham &amp; Ringwood RFC</t>
  </si>
  <si>
    <t>Faringdon RFC</t>
  </si>
  <si>
    <t>Farnham RFC</t>
  </si>
  <si>
    <t>Grove RFC</t>
  </si>
  <si>
    <t>Guernsey RFC</t>
  </si>
  <si>
    <t>Havant RFC</t>
  </si>
  <si>
    <t>Maidenhead RFC</t>
  </si>
  <si>
    <t>Newbury RFC</t>
  </si>
  <si>
    <t>Oakmeadians RFC</t>
  </si>
  <si>
    <t>Oxford RFC</t>
  </si>
  <si>
    <t>Oxford Quins RFC</t>
  </si>
  <si>
    <t>Petersfield RFC</t>
  </si>
  <si>
    <t>Rams RFC</t>
  </si>
  <si>
    <t>Reading RFC</t>
  </si>
  <si>
    <t>Royal Wootton Bassett RFC</t>
  </si>
  <si>
    <t>Salisbury RFC</t>
  </si>
  <si>
    <t>Supermarine RFC</t>
  </si>
  <si>
    <t>Swindon RFC</t>
  </si>
  <si>
    <t>Tadley RFC</t>
  </si>
  <si>
    <t>Thatcham RFC</t>
  </si>
  <si>
    <t>Trojans RFC</t>
  </si>
  <si>
    <t>Wallingford RFC</t>
  </si>
  <si>
    <t>Windsor RFC</t>
  </si>
  <si>
    <t>Worthing RFC</t>
  </si>
  <si>
    <t>Swindon RFC Roses</t>
  </si>
  <si>
    <t>CN RFC</t>
  </si>
  <si>
    <t>E&amp;R RFC</t>
  </si>
  <si>
    <t>Cotswold Lionesses</t>
  </si>
  <si>
    <t>Lionesses</t>
  </si>
  <si>
    <t>COTSWOLD LIONESSES</t>
  </si>
  <si>
    <t>Oaks RFC</t>
  </si>
  <si>
    <t>RWB RFC</t>
  </si>
  <si>
    <t>Beacs. RFC</t>
  </si>
  <si>
    <t>team_prefix</t>
  </si>
  <si>
    <t>text_primary</t>
  </si>
  <si>
    <t>text_accent</t>
  </si>
  <si>
    <t>DEFAULT</t>
  </si>
  <si>
    <t>WARRIORS</t>
  </si>
  <si>
    <t>#FFE602</t>
  </si>
  <si>
    <t>#F8F9FF</t>
  </si>
  <si>
    <t>#D4AF37</t>
  </si>
  <si>
    <t>#FFFFFF</t>
  </si>
  <si>
    <t>Didcot Newbury Quins</t>
  </si>
  <si>
    <t>team_key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</si>
  <si>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</si>
  <si>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</si>
  <si>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</si>
  <si>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</si>
  <si>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</si>
  <si>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</si>
  <si>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</si>
  <si>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</si>
  <si>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</si>
  <si>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HURRICANES</t>
  </si>
  <si>
    <t>COLTS</t>
  </si>
  <si>
    <t>WARRIORS U12</t>
  </si>
  <si>
    <t>WARRIORS U14</t>
  </si>
  <si>
    <t>WARRIORS U16</t>
  </si>
  <si>
    <t>OBB</t>
  </si>
  <si>
    <t>BYC</t>
  </si>
  <si>
    <t>PUP</t>
  </si>
  <si>
    <t>HOB</t>
  </si>
  <si>
    <t>Berks KO</t>
  </si>
  <si>
    <t>U16GIRLSNATCUP</t>
  </si>
  <si>
    <t>list_sort</t>
  </si>
  <si>
    <t>comp_name</t>
  </si>
  <si>
    <t>comp_alias</t>
  </si>
  <si>
    <t>Berks Knockout Cup</t>
  </si>
  <si>
    <t>Berks Youth Cup</t>
  </si>
  <si>
    <t>Girls National Cup</t>
  </si>
  <si>
    <t>text_info</t>
  </si>
  <si>
    <t>#821C34</t>
  </si>
  <si>
    <t>#AC0753</t>
  </si>
  <si>
    <t>logo_id</t>
  </si>
  <si>
    <t>BKO</t>
  </si>
  <si>
    <t>match_length</t>
  </si>
  <si>
    <t>text_cr</t>
  </si>
  <si>
    <t>#1C0304</t>
  </si>
  <si>
    <t>text_bg</t>
  </si>
  <si>
    <t>text_fg</t>
  </si>
  <si>
    <t>Walcats</t>
  </si>
  <si>
    <t>WALCATS</t>
  </si>
  <si>
    <t>Minety RFC &amp; Cricklade RFC</t>
  </si>
  <si>
    <t>MRFC &amp; CRFC</t>
  </si>
  <si>
    <t>MINETY &amp; CRICKLADE</t>
  </si>
  <si>
    <t>RRFC &amp; ARFC</t>
  </si>
  <si>
    <t>file_comp</t>
  </si>
  <si>
    <t>BKOC</t>
  </si>
  <si>
    <t>GIRLS NATCUP</t>
  </si>
  <si>
    <t>slug_alias</t>
  </si>
  <si>
    <t>CNRFC</t>
  </si>
  <si>
    <t>E&amp;RRFC</t>
  </si>
  <si>
    <t>OQRFC</t>
  </si>
  <si>
    <t>R&amp;A</t>
  </si>
  <si>
    <t>RWBRFC</t>
  </si>
  <si>
    <t>ROSES</t>
  </si>
  <si>
    <t>LIONESSES</t>
  </si>
  <si>
    <t>M&amp;C</t>
  </si>
  <si>
    <t>Pewsey Vale RFC</t>
  </si>
  <si>
    <t>Pewsey Vale</t>
  </si>
  <si>
    <t>PEWSEY VALE</t>
  </si>
  <si>
    <t>PVRFC</t>
  </si>
  <si>
    <t>ARFC</t>
  </si>
  <si>
    <t>ANDOVER</t>
  </si>
  <si>
    <t>Andover RFC</t>
  </si>
  <si>
    <t>Devizes RFC</t>
  </si>
  <si>
    <t>DEVIZES</t>
  </si>
  <si>
    <t>DRFC</t>
  </si>
  <si>
    <t>Portsfield RFC</t>
  </si>
  <si>
    <t>Portsfield</t>
  </si>
  <si>
    <t>PORTSFIELD</t>
  </si>
  <si>
    <t>Melksham Fawns</t>
  </si>
  <si>
    <t>Fawns</t>
  </si>
  <si>
    <t>MF</t>
  </si>
  <si>
    <t>MELKSHAM FAWNS</t>
  </si>
  <si>
    <t>Witney RFC</t>
  </si>
  <si>
    <t>Witney</t>
  </si>
  <si>
    <t>WITNEY</t>
  </si>
  <si>
    <t>WRFC</t>
  </si>
  <si>
    <t>DNQW</t>
  </si>
  <si>
    <t>Didcot Newbury Quins Witney</t>
  </si>
  <si>
    <t>Didcot RFC</t>
  </si>
  <si>
    <t>DIDCOT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</si>
</sst>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ADAA-3B86-46D6-AECF-9223AFDA22FA}">
  <dimension ref="A1:Q18"/>
  <sheetViews>
    <sheetView showGridLines="0" workbookViewId="0">
      <pane ySplit="1" topLeftCell="A2" activePane="bottomLeft" state="frozen"/>
      <selection pane="bottomLeft" activeCell="H14" sqref="H14:H18"/>
    </sheetView>
  </sheetViews>
  <sheetFormatPr defaultColWidth="14.140625" defaultRowHeight="15" x14ac:dyDescent="0.25"/>
  <cols>
    <col min="1" max="1" width="11.5703125" bestFit="1" customWidth="1"/>
    <col min="2" max="2" width="30.28515625" bestFit="1" customWidth="1"/>
    <col min="3" max="5" width="8" style="1" bestFit="1" customWidth="1"/>
    <col min="6" max="6" width="10.5703125" style="1" bestFit="1" customWidth="1"/>
    <col min="7" max="7" width="16" style="1" bestFit="1" customWidth="1"/>
    <col min="8" max="8" width="16" style="1" customWidth="1"/>
    <col min="9" max="9" width="14.28515625" style="1" bestFit="1" customWidth="1"/>
    <col min="10" max="17" width="14.140625" style="1"/>
  </cols>
  <sheetData>
    <row r="1" spans="1:17" x14ac:dyDescent="0.25">
      <c r="A1" t="s">
        <v>0</v>
      </c>
      <c r="B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2</v>
      </c>
      <c r="H1" s="1" t="s">
        <v>48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</row>
    <row r="2" spans="1:17" x14ac:dyDescent="0.25">
      <c r="A2" t="s">
        <v>3</v>
      </c>
      <c r="B2" t="s">
        <v>4</v>
      </c>
      <c r="C2" s="1">
        <v>65.599999999999994</v>
      </c>
      <c r="D2" s="1">
        <v>101.5</v>
      </c>
      <c r="E2" s="1">
        <v>335.8</v>
      </c>
      <c r="F2" s="1">
        <v>200.1</v>
      </c>
      <c r="G2" s="1">
        <v>0</v>
      </c>
      <c r="H2" s="1">
        <v>0</v>
      </c>
      <c r="I2" s="1">
        <v>1.08</v>
      </c>
      <c r="J2" s="1">
        <v>26</v>
      </c>
      <c r="K2" s="1" t="s">
        <v>45</v>
      </c>
      <c r="L2" s="1">
        <v>16.100000000000001</v>
      </c>
      <c r="M2" s="1" t="s">
        <v>46</v>
      </c>
      <c r="N2" s="1">
        <v>22</v>
      </c>
      <c r="O2" s="1" t="s">
        <v>45</v>
      </c>
      <c r="P2" s="1">
        <f>L2</f>
        <v>16.100000000000001</v>
      </c>
      <c r="Q2" s="1" t="s">
        <v>46</v>
      </c>
    </row>
    <row r="3" spans="1:17" x14ac:dyDescent="0.25">
      <c r="A3" t="s">
        <v>5</v>
      </c>
      <c r="B3" t="s">
        <v>6</v>
      </c>
      <c r="C3" s="1">
        <v>65.599999999999994</v>
      </c>
      <c r="D3" s="1">
        <v>101.5</v>
      </c>
      <c r="E3" s="1">
        <v>167.9</v>
      </c>
      <c r="F3" s="1">
        <v>200.1</v>
      </c>
      <c r="G3" s="1">
        <v>0</v>
      </c>
      <c r="H3" s="1">
        <v>0</v>
      </c>
      <c r="I3" s="1">
        <v>1.08</v>
      </c>
      <c r="J3" s="1">
        <v>21</v>
      </c>
      <c r="K3" s="1" t="s">
        <v>45</v>
      </c>
      <c r="L3" s="1">
        <v>13.5</v>
      </c>
      <c r="M3" s="1" t="s">
        <v>46</v>
      </c>
      <c r="N3" s="1">
        <v>18</v>
      </c>
      <c r="O3" s="1" t="s">
        <v>47</v>
      </c>
      <c r="P3" s="1">
        <f t="shared" ref="P3:P18" si="0">L3</f>
        <v>13.5</v>
      </c>
      <c r="Q3" s="1" t="s">
        <v>46</v>
      </c>
    </row>
    <row r="4" spans="1:17" x14ac:dyDescent="0.25">
      <c r="A4" t="s">
        <v>7</v>
      </c>
      <c r="B4" t="s">
        <v>8</v>
      </c>
      <c r="C4" s="1">
        <v>233.5</v>
      </c>
      <c r="D4" s="1">
        <v>101.5</v>
      </c>
      <c r="E4" s="1">
        <v>167.9</v>
      </c>
      <c r="F4" s="1">
        <v>200.1</v>
      </c>
      <c r="G4" s="1">
        <v>0</v>
      </c>
      <c r="H4" s="1">
        <v>0</v>
      </c>
      <c r="I4" s="1">
        <v>1.08</v>
      </c>
      <c r="J4" s="1">
        <v>21</v>
      </c>
      <c r="K4" s="1" t="s">
        <v>45</v>
      </c>
      <c r="L4" s="1">
        <v>13.5</v>
      </c>
      <c r="M4" s="1" t="s">
        <v>46</v>
      </c>
      <c r="N4" s="1">
        <v>18</v>
      </c>
      <c r="O4" s="1" t="s">
        <v>47</v>
      </c>
      <c r="P4" s="1">
        <f t="shared" si="0"/>
        <v>13.5</v>
      </c>
      <c r="Q4" s="1" t="s">
        <v>46</v>
      </c>
    </row>
    <row r="5" spans="1:17" x14ac:dyDescent="0.25">
      <c r="A5" t="s">
        <v>9</v>
      </c>
      <c r="B5" t="s">
        <v>10</v>
      </c>
      <c r="C5" s="1">
        <v>388.6</v>
      </c>
      <c r="D5" s="1">
        <v>249.7</v>
      </c>
      <c r="E5" s="1">
        <v>260.60000000000002</v>
      </c>
      <c r="F5" s="1">
        <v>194.8</v>
      </c>
      <c r="G5" s="1">
        <v>-61.2</v>
      </c>
      <c r="H5" s="1">
        <v>28.8</v>
      </c>
      <c r="I5" s="1">
        <v>1.08</v>
      </c>
      <c r="J5" s="1">
        <v>26</v>
      </c>
      <c r="K5" s="1" t="s">
        <v>45</v>
      </c>
      <c r="L5" s="1">
        <v>16.100000000000001</v>
      </c>
      <c r="M5" s="1" t="s">
        <v>46</v>
      </c>
      <c r="N5" s="1">
        <v>22</v>
      </c>
      <c r="O5" s="1" t="s">
        <v>45</v>
      </c>
      <c r="P5" s="1">
        <f t="shared" si="0"/>
        <v>16.100000000000001</v>
      </c>
      <c r="Q5" s="1" t="s">
        <v>46</v>
      </c>
    </row>
    <row r="6" spans="1:17" x14ac:dyDescent="0.25">
      <c r="A6" t="s">
        <v>11</v>
      </c>
      <c r="B6" t="s">
        <v>12</v>
      </c>
      <c r="C6" s="1">
        <v>451.4</v>
      </c>
      <c r="D6" s="1">
        <v>249.7</v>
      </c>
      <c r="E6" s="1">
        <v>130.30000000000001</v>
      </c>
      <c r="F6" s="1">
        <v>194.8</v>
      </c>
      <c r="G6" s="1">
        <v>-61.2</v>
      </c>
      <c r="H6" s="1">
        <v>28.8</v>
      </c>
      <c r="I6" s="1">
        <v>1.08</v>
      </c>
      <c r="J6" s="1">
        <v>21</v>
      </c>
      <c r="K6" s="1" t="s">
        <v>45</v>
      </c>
      <c r="L6" s="1">
        <v>13.5</v>
      </c>
      <c r="M6" s="1" t="s">
        <v>46</v>
      </c>
      <c r="N6" s="1">
        <v>18</v>
      </c>
      <c r="O6" s="1" t="s">
        <v>47</v>
      </c>
      <c r="P6" s="1">
        <f t="shared" si="0"/>
        <v>13.5</v>
      </c>
      <c r="Q6" s="1" t="s">
        <v>46</v>
      </c>
    </row>
    <row r="7" spans="1:17" x14ac:dyDescent="0.25">
      <c r="A7" t="s">
        <v>13</v>
      </c>
      <c r="B7" t="s">
        <v>14</v>
      </c>
      <c r="C7" s="1">
        <v>388.6</v>
      </c>
      <c r="D7" s="1">
        <v>363.9</v>
      </c>
      <c r="E7" s="1">
        <v>130.30000000000001</v>
      </c>
      <c r="F7" s="1">
        <v>194.8</v>
      </c>
      <c r="G7" s="1">
        <v>-61.2</v>
      </c>
      <c r="H7" s="1">
        <v>28.8</v>
      </c>
      <c r="I7" s="1">
        <v>1.08</v>
      </c>
      <c r="J7" s="1">
        <v>21</v>
      </c>
      <c r="K7" s="1" t="s">
        <v>45</v>
      </c>
      <c r="L7" s="1">
        <v>13.5</v>
      </c>
      <c r="M7" s="1" t="s">
        <v>46</v>
      </c>
      <c r="N7" s="1">
        <v>18</v>
      </c>
      <c r="O7" s="1" t="s">
        <v>47</v>
      </c>
      <c r="P7" s="1">
        <f t="shared" si="0"/>
        <v>13.5</v>
      </c>
      <c r="Q7" s="1" t="s">
        <v>46</v>
      </c>
    </row>
    <row r="8" spans="1:17" x14ac:dyDescent="0.25">
      <c r="A8" t="s">
        <v>15</v>
      </c>
      <c r="B8" t="s">
        <v>16</v>
      </c>
      <c r="C8" s="1">
        <v>80</v>
      </c>
      <c r="D8" s="1">
        <v>325.5</v>
      </c>
      <c r="E8" s="1">
        <v>304.7</v>
      </c>
      <c r="F8" s="1">
        <v>194.8</v>
      </c>
      <c r="G8" s="1">
        <v>0</v>
      </c>
      <c r="H8" s="1">
        <v>0</v>
      </c>
      <c r="I8" s="1">
        <v>1.08</v>
      </c>
      <c r="J8" s="1">
        <v>26</v>
      </c>
      <c r="K8" s="1" t="s">
        <v>45</v>
      </c>
      <c r="L8" s="1">
        <v>16.100000000000001</v>
      </c>
      <c r="M8" s="1" t="s">
        <v>46</v>
      </c>
      <c r="N8" s="1">
        <v>22</v>
      </c>
      <c r="O8" s="1" t="s">
        <v>45</v>
      </c>
      <c r="P8" s="1">
        <f t="shared" si="0"/>
        <v>16.100000000000001</v>
      </c>
      <c r="Q8" s="1" t="s">
        <v>46</v>
      </c>
    </row>
    <row r="9" spans="1:17" x14ac:dyDescent="0.25">
      <c r="A9" t="s">
        <v>17</v>
      </c>
      <c r="B9" t="s">
        <v>18</v>
      </c>
      <c r="C9" s="1">
        <v>80</v>
      </c>
      <c r="D9" s="1">
        <v>325.5</v>
      </c>
      <c r="E9" s="1">
        <v>152.35</v>
      </c>
      <c r="F9" s="1">
        <v>194.8</v>
      </c>
      <c r="G9" s="1">
        <v>0</v>
      </c>
      <c r="H9" s="1">
        <v>0</v>
      </c>
      <c r="I9" s="1">
        <v>1.08</v>
      </c>
      <c r="J9" s="1">
        <v>21</v>
      </c>
      <c r="K9" s="1" t="s">
        <v>45</v>
      </c>
      <c r="L9" s="1">
        <v>13.5</v>
      </c>
      <c r="M9" s="1" t="s">
        <v>46</v>
      </c>
      <c r="N9" s="1">
        <v>18</v>
      </c>
      <c r="O9" s="1" t="s">
        <v>47</v>
      </c>
      <c r="P9" s="1">
        <f t="shared" si="0"/>
        <v>13.5</v>
      </c>
      <c r="Q9" s="1" t="s">
        <v>46</v>
      </c>
    </row>
    <row r="10" spans="1:17" x14ac:dyDescent="0.25">
      <c r="A10" t="s">
        <v>19</v>
      </c>
      <c r="B10" t="s">
        <v>20</v>
      </c>
      <c r="C10" s="1">
        <v>232.35</v>
      </c>
      <c r="D10" s="1">
        <v>325.5</v>
      </c>
      <c r="E10" s="1">
        <v>152.35</v>
      </c>
      <c r="F10" s="1">
        <v>194.8</v>
      </c>
      <c r="G10" s="1">
        <v>0</v>
      </c>
      <c r="H10" s="1">
        <v>0</v>
      </c>
      <c r="I10" s="1">
        <v>1.08</v>
      </c>
      <c r="J10" s="1">
        <v>21</v>
      </c>
      <c r="K10" s="1" t="s">
        <v>45</v>
      </c>
      <c r="L10" s="1">
        <v>13.5</v>
      </c>
      <c r="M10" s="1" t="s">
        <v>46</v>
      </c>
      <c r="N10" s="1">
        <v>18</v>
      </c>
      <c r="O10" s="1" t="s">
        <v>47</v>
      </c>
      <c r="P10" s="1">
        <f t="shared" si="0"/>
        <v>13.5</v>
      </c>
      <c r="Q10" s="1" t="s">
        <v>46</v>
      </c>
    </row>
    <row r="11" spans="1:17" x14ac:dyDescent="0.25">
      <c r="A11" t="s">
        <v>21</v>
      </c>
      <c r="B11" t="s">
        <v>22</v>
      </c>
      <c r="C11" s="1">
        <v>117.3</v>
      </c>
      <c r="D11" s="1">
        <v>535.1</v>
      </c>
      <c r="E11" s="1">
        <v>309.2</v>
      </c>
      <c r="F11" s="1">
        <v>191</v>
      </c>
      <c r="G11" s="1">
        <v>0</v>
      </c>
      <c r="H11" s="1">
        <v>0</v>
      </c>
      <c r="I11" s="1">
        <v>1.08</v>
      </c>
      <c r="J11" s="1">
        <v>26</v>
      </c>
      <c r="K11" s="1" t="s">
        <v>45</v>
      </c>
      <c r="L11" s="1">
        <v>16.100000000000001</v>
      </c>
      <c r="M11" s="1" t="s">
        <v>46</v>
      </c>
      <c r="N11" s="1">
        <v>22</v>
      </c>
      <c r="O11" s="1" t="s">
        <v>45</v>
      </c>
      <c r="P11" s="1">
        <f t="shared" si="0"/>
        <v>16.100000000000001</v>
      </c>
      <c r="Q11" s="1" t="s">
        <v>46</v>
      </c>
    </row>
    <row r="12" spans="1:17" x14ac:dyDescent="0.25">
      <c r="A12" t="s">
        <v>23</v>
      </c>
      <c r="B12" t="s">
        <v>24</v>
      </c>
      <c r="C12" s="1">
        <v>117.3</v>
      </c>
      <c r="D12" s="1">
        <v>535.1</v>
      </c>
      <c r="E12" s="1">
        <v>154.6</v>
      </c>
      <c r="F12" s="1">
        <v>191</v>
      </c>
      <c r="G12" s="1">
        <v>0</v>
      </c>
      <c r="H12" s="1">
        <v>0</v>
      </c>
      <c r="I12" s="1">
        <v>1.08</v>
      </c>
      <c r="J12" s="1">
        <v>21</v>
      </c>
      <c r="K12" s="1" t="s">
        <v>45</v>
      </c>
      <c r="L12" s="1">
        <v>13.5</v>
      </c>
      <c r="M12" s="1" t="s">
        <v>46</v>
      </c>
      <c r="N12" s="1">
        <v>18</v>
      </c>
      <c r="O12" s="1" t="s">
        <v>47</v>
      </c>
      <c r="P12" s="1">
        <f t="shared" si="0"/>
        <v>13.5</v>
      </c>
      <c r="Q12" s="1" t="s">
        <v>46</v>
      </c>
    </row>
    <row r="13" spans="1:17" x14ac:dyDescent="0.25">
      <c r="A13" t="s">
        <v>25</v>
      </c>
      <c r="B13" t="s">
        <v>26</v>
      </c>
      <c r="C13" s="1">
        <v>271.89999999999998</v>
      </c>
      <c r="D13" s="1">
        <v>535.1</v>
      </c>
      <c r="E13" s="1">
        <v>154.6</v>
      </c>
      <c r="F13" s="1">
        <v>191</v>
      </c>
      <c r="G13" s="1">
        <v>0</v>
      </c>
      <c r="H13" s="1">
        <v>0</v>
      </c>
      <c r="I13" s="1">
        <v>1.08</v>
      </c>
      <c r="J13" s="1">
        <v>21</v>
      </c>
      <c r="K13" s="1" t="s">
        <v>45</v>
      </c>
      <c r="L13" s="1">
        <v>13.5</v>
      </c>
      <c r="M13" s="1" t="s">
        <v>46</v>
      </c>
      <c r="N13" s="1">
        <v>18</v>
      </c>
      <c r="O13" s="1" t="s">
        <v>47</v>
      </c>
      <c r="P13" s="1">
        <f t="shared" si="0"/>
        <v>13.5</v>
      </c>
      <c r="Q13" s="1" t="s">
        <v>46</v>
      </c>
    </row>
    <row r="14" spans="1:17" x14ac:dyDescent="0.25">
      <c r="A14" t="s">
        <v>27</v>
      </c>
      <c r="B14" t="s">
        <v>49</v>
      </c>
      <c r="C14" s="1">
        <v>137.1</v>
      </c>
      <c r="D14" s="1">
        <v>748.1</v>
      </c>
      <c r="E14" s="1">
        <v>85.7</v>
      </c>
      <c r="F14" s="1">
        <v>125.4</v>
      </c>
      <c r="G14" s="1">
        <v>0</v>
      </c>
      <c r="H14" s="1">
        <v>-90</v>
      </c>
      <c r="I14" s="1">
        <v>1.08</v>
      </c>
      <c r="J14" s="1">
        <v>18</v>
      </c>
      <c r="K14" s="1" t="s">
        <v>45</v>
      </c>
      <c r="L14" s="1">
        <v>12</v>
      </c>
      <c r="M14" s="1" t="s">
        <v>46</v>
      </c>
      <c r="N14" s="1">
        <v>16</v>
      </c>
      <c r="O14" s="1" t="s">
        <v>47</v>
      </c>
      <c r="P14" s="1">
        <f t="shared" si="0"/>
        <v>12</v>
      </c>
      <c r="Q14" s="1" t="s">
        <v>46</v>
      </c>
    </row>
    <row r="15" spans="1:17" x14ac:dyDescent="0.25">
      <c r="A15" t="s">
        <v>28</v>
      </c>
      <c r="B15" t="s">
        <v>50</v>
      </c>
      <c r="C15" s="1">
        <v>232.8</v>
      </c>
      <c r="D15" s="1">
        <v>748.1</v>
      </c>
      <c r="E15" s="1">
        <v>85.7</v>
      </c>
      <c r="F15" s="1">
        <v>125.4</v>
      </c>
      <c r="G15" s="1">
        <v>0</v>
      </c>
      <c r="H15" s="1">
        <v>-90</v>
      </c>
      <c r="I15" s="1">
        <v>1.08</v>
      </c>
      <c r="J15" s="1">
        <v>18</v>
      </c>
      <c r="K15" s="1" t="s">
        <v>45</v>
      </c>
      <c r="L15" s="1">
        <v>12</v>
      </c>
      <c r="M15" s="1" t="s">
        <v>46</v>
      </c>
      <c r="N15" s="1">
        <v>16</v>
      </c>
      <c r="O15" s="1" t="s">
        <v>47</v>
      </c>
      <c r="P15" s="1">
        <f t="shared" si="0"/>
        <v>12</v>
      </c>
      <c r="Q15" s="1" t="s">
        <v>46</v>
      </c>
    </row>
    <row r="16" spans="1:17" x14ac:dyDescent="0.25">
      <c r="A16" t="s">
        <v>29</v>
      </c>
      <c r="B16" t="s">
        <v>51</v>
      </c>
      <c r="C16" s="1">
        <v>328.5</v>
      </c>
      <c r="D16" s="1">
        <v>748.1</v>
      </c>
      <c r="E16" s="1">
        <v>85.7</v>
      </c>
      <c r="F16" s="1">
        <v>125.4</v>
      </c>
      <c r="G16" s="1">
        <v>0</v>
      </c>
      <c r="H16" s="1">
        <v>-90</v>
      </c>
      <c r="I16" s="1">
        <v>1.08</v>
      </c>
      <c r="J16" s="1">
        <v>18</v>
      </c>
      <c r="K16" s="1" t="s">
        <v>45</v>
      </c>
      <c r="L16" s="1">
        <v>12</v>
      </c>
      <c r="M16" s="1" t="s">
        <v>46</v>
      </c>
      <c r="N16" s="1">
        <v>16</v>
      </c>
      <c r="O16" s="1" t="s">
        <v>47</v>
      </c>
      <c r="P16" s="1">
        <f t="shared" si="0"/>
        <v>12</v>
      </c>
      <c r="Q16" s="1" t="s">
        <v>46</v>
      </c>
    </row>
    <row r="17" spans="1:17" x14ac:dyDescent="0.25">
      <c r="A17" t="s">
        <v>30</v>
      </c>
      <c r="B17" t="s">
        <v>52</v>
      </c>
      <c r="C17" s="1">
        <v>173.1</v>
      </c>
      <c r="D17" s="1">
        <v>883.5</v>
      </c>
      <c r="E17" s="1">
        <v>85.7</v>
      </c>
      <c r="F17" s="1">
        <v>125.4</v>
      </c>
      <c r="G17" s="1">
        <v>0</v>
      </c>
      <c r="H17" s="1">
        <v>-90</v>
      </c>
      <c r="I17" s="1">
        <v>1.08</v>
      </c>
      <c r="J17" s="1">
        <v>18</v>
      </c>
      <c r="K17" s="1" t="s">
        <v>45</v>
      </c>
      <c r="L17" s="1">
        <v>12</v>
      </c>
      <c r="M17" s="1" t="s">
        <v>46</v>
      </c>
      <c r="N17" s="1">
        <v>16</v>
      </c>
      <c r="O17" s="1" t="s">
        <v>47</v>
      </c>
      <c r="P17" s="1">
        <f t="shared" si="0"/>
        <v>12</v>
      </c>
      <c r="Q17" s="1" t="s">
        <v>46</v>
      </c>
    </row>
    <row r="18" spans="1:17" x14ac:dyDescent="0.25">
      <c r="A18" t="s">
        <v>31</v>
      </c>
      <c r="B18" t="s">
        <v>53</v>
      </c>
      <c r="C18" s="1">
        <v>266.8</v>
      </c>
      <c r="D18" s="1">
        <v>883.5</v>
      </c>
      <c r="E18" s="1">
        <v>85.7</v>
      </c>
      <c r="F18" s="1">
        <v>125.4</v>
      </c>
      <c r="G18" s="1">
        <v>0</v>
      </c>
      <c r="H18" s="1">
        <v>-90</v>
      </c>
      <c r="I18" s="1">
        <v>1.08</v>
      </c>
      <c r="J18" s="1">
        <v>18</v>
      </c>
      <c r="K18" s="1" t="s">
        <v>45</v>
      </c>
      <c r="L18" s="1">
        <v>12</v>
      </c>
      <c r="M18" s="1" t="s">
        <v>46</v>
      </c>
      <c r="N18" s="1">
        <v>16</v>
      </c>
      <c r="O18" s="1" t="s">
        <v>47</v>
      </c>
      <c r="P18" s="1">
        <f t="shared" si="0"/>
        <v>12</v>
      </c>
      <c r="Q18" s="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B33A-C646-4048-BB46-7ABB988B4ED9}">
  <dimension ref="A1:D52"/>
  <sheetViews>
    <sheetView showGridLines="0" tabSelected="1" topLeftCell="A13" workbookViewId="0">
      <selection activeCell="D52" sqref="D52"/>
    </sheetView>
  </sheetViews>
  <sheetFormatPr defaultRowHeight="15" x14ac:dyDescent="0.25"/>
  <cols>
    <col min="1" max="1" width="29.85546875" customWidth="1"/>
    <col min="2" max="2" width="15.7109375" bestFit="1" customWidth="1"/>
    <col min="3" max="3" width="24.42578125" bestFit="1" customWidth="1"/>
    <col min="4" max="4" width="10.28515625" bestFit="1" customWidth="1"/>
  </cols>
  <sheetData>
    <row r="1" spans="1:4" x14ac:dyDescent="0.25">
      <c r="A1" t="s">
        <v>54</v>
      </c>
      <c r="B1" t="s">
        <v>56</v>
      </c>
      <c r="C1" t="s">
        <v>55</v>
      </c>
      <c r="D1" t="s">
        <v>232</v>
      </c>
    </row>
    <row r="2" spans="1:4" x14ac:dyDescent="0.25">
      <c r="A2" t="s">
        <v>135</v>
      </c>
      <c r="B2" t="s">
        <v>58</v>
      </c>
      <c r="C2" t="s">
        <v>59</v>
      </c>
      <c r="D2" t="str">
        <f>LEFT(A2,1)&amp;"RFC"</f>
        <v>ARFC</v>
      </c>
    </row>
    <row r="3" spans="1:4" x14ac:dyDescent="0.25">
      <c r="A3" t="s">
        <v>247</v>
      </c>
      <c r="B3" t="s">
        <v>247</v>
      </c>
      <c r="C3" t="s">
        <v>246</v>
      </c>
      <c r="D3" t="s">
        <v>245</v>
      </c>
    </row>
    <row r="4" spans="1:4" x14ac:dyDescent="0.25">
      <c r="A4" t="s">
        <v>57</v>
      </c>
      <c r="B4" t="s">
        <v>60</v>
      </c>
      <c r="C4" t="s">
        <v>61</v>
      </c>
      <c r="D4" t="str">
        <f>LEFT(A4,1)&amp;"RFC"</f>
        <v>BRFC</v>
      </c>
    </row>
    <row r="5" spans="1:4" x14ac:dyDescent="0.25">
      <c r="A5" t="s">
        <v>136</v>
      </c>
      <c r="B5" t="s">
        <v>62</v>
      </c>
      <c r="C5" t="s">
        <v>63</v>
      </c>
      <c r="D5" t="str">
        <f>LEFT(A5,1)&amp;"RFC"</f>
        <v>BRFC</v>
      </c>
    </row>
    <row r="6" spans="1:4" x14ac:dyDescent="0.25">
      <c r="A6" t="s">
        <v>137</v>
      </c>
      <c r="B6" t="s">
        <v>175</v>
      </c>
      <c r="C6" t="s">
        <v>64</v>
      </c>
      <c r="D6" t="str">
        <f>LEFT(A6,1)&amp;"RFC"</f>
        <v>BRFC</v>
      </c>
    </row>
    <row r="7" spans="1:4" x14ac:dyDescent="0.25">
      <c r="A7" t="s">
        <v>138</v>
      </c>
      <c r="B7" t="s">
        <v>65</v>
      </c>
      <c r="C7" t="s">
        <v>66</v>
      </c>
      <c r="D7" t="str">
        <f>LEFT(A7,1)&amp;"RFC"</f>
        <v>BRFC</v>
      </c>
    </row>
    <row r="8" spans="1:4" x14ac:dyDescent="0.25">
      <c r="A8" t="s">
        <v>139</v>
      </c>
      <c r="B8" t="s">
        <v>67</v>
      </c>
      <c r="C8" t="s">
        <v>68</v>
      </c>
      <c r="D8" t="str">
        <f>LEFT(A8,1)&amp;"RFC"</f>
        <v>CRFC</v>
      </c>
    </row>
    <row r="9" spans="1:4" x14ac:dyDescent="0.25">
      <c r="A9" t="s">
        <v>140</v>
      </c>
      <c r="B9" t="s">
        <v>168</v>
      </c>
      <c r="C9" t="s">
        <v>69</v>
      </c>
      <c r="D9" t="s">
        <v>233</v>
      </c>
    </row>
    <row r="10" spans="1:4" x14ac:dyDescent="0.25">
      <c r="A10" t="s">
        <v>141</v>
      </c>
      <c r="B10" t="s">
        <v>70</v>
      </c>
      <c r="C10" t="s">
        <v>71</v>
      </c>
      <c r="D10" t="str">
        <f>LEFT(A10,1)&amp;"RFC"</f>
        <v>CRFC</v>
      </c>
    </row>
    <row r="11" spans="1:4" x14ac:dyDescent="0.25">
      <c r="A11" t="s">
        <v>170</v>
      </c>
      <c r="B11" t="s">
        <v>171</v>
      </c>
      <c r="C11" t="s">
        <v>172</v>
      </c>
      <c r="D11" t="s">
        <v>239</v>
      </c>
    </row>
    <row r="12" spans="1:4" x14ac:dyDescent="0.25">
      <c r="A12" t="s">
        <v>142</v>
      </c>
      <c r="B12" t="s">
        <v>72</v>
      </c>
      <c r="C12" t="s">
        <v>73</v>
      </c>
      <c r="D12" t="str">
        <f>LEFT(A12,1)&amp;"RFC"</f>
        <v>CRFC</v>
      </c>
    </row>
    <row r="13" spans="1:4" x14ac:dyDescent="0.25">
      <c r="A13" t="s">
        <v>248</v>
      </c>
      <c r="B13" t="s">
        <v>248</v>
      </c>
      <c r="C13" t="s">
        <v>249</v>
      </c>
      <c r="D13" t="s">
        <v>250</v>
      </c>
    </row>
    <row r="14" spans="1:4" x14ac:dyDescent="0.25">
      <c r="A14" t="s">
        <v>185</v>
      </c>
      <c r="B14" t="s">
        <v>74</v>
      </c>
      <c r="C14" t="s">
        <v>74</v>
      </c>
      <c r="D14" t="s">
        <v>74</v>
      </c>
    </row>
    <row r="15" spans="1:4" x14ac:dyDescent="0.25">
      <c r="A15" t="s">
        <v>143</v>
      </c>
      <c r="B15" t="s">
        <v>169</v>
      </c>
      <c r="C15" t="s">
        <v>75</v>
      </c>
      <c r="D15" t="s">
        <v>234</v>
      </c>
    </row>
    <row r="16" spans="1:4" x14ac:dyDescent="0.25">
      <c r="A16" t="s">
        <v>78</v>
      </c>
      <c r="B16" t="s">
        <v>79</v>
      </c>
      <c r="C16" t="s">
        <v>80</v>
      </c>
    </row>
    <row r="17" spans="1:4" x14ac:dyDescent="0.25">
      <c r="A17" t="s">
        <v>144</v>
      </c>
      <c r="B17" t="s">
        <v>76</v>
      </c>
      <c r="C17" t="s">
        <v>77</v>
      </c>
      <c r="D17" t="str">
        <f t="shared" ref="D17:D22" si="0">LEFT(A17,1)&amp;"RFC"</f>
        <v>FRFC</v>
      </c>
    </row>
    <row r="18" spans="1:4" x14ac:dyDescent="0.25">
      <c r="A18" t="s">
        <v>145</v>
      </c>
      <c r="B18" t="s">
        <v>81</v>
      </c>
      <c r="C18" t="s">
        <v>82</v>
      </c>
      <c r="D18" t="str">
        <f t="shared" si="0"/>
        <v>FRFC</v>
      </c>
    </row>
    <row r="19" spans="1:4" x14ac:dyDescent="0.25">
      <c r="A19" t="s">
        <v>146</v>
      </c>
      <c r="B19" t="s">
        <v>83</v>
      </c>
      <c r="C19" t="s">
        <v>84</v>
      </c>
      <c r="D19" t="str">
        <f t="shared" si="0"/>
        <v>GRFC</v>
      </c>
    </row>
    <row r="20" spans="1:4" x14ac:dyDescent="0.25">
      <c r="A20" t="s">
        <v>147</v>
      </c>
      <c r="B20" t="s">
        <v>85</v>
      </c>
      <c r="C20" t="s">
        <v>86</v>
      </c>
      <c r="D20" t="str">
        <f t="shared" si="0"/>
        <v>GRFC</v>
      </c>
    </row>
    <row r="21" spans="1:4" x14ac:dyDescent="0.25">
      <c r="A21" t="s">
        <v>148</v>
      </c>
      <c r="B21" t="s">
        <v>87</v>
      </c>
      <c r="C21" t="s">
        <v>88</v>
      </c>
      <c r="D21" t="str">
        <f t="shared" si="0"/>
        <v>HRFC</v>
      </c>
    </row>
    <row r="22" spans="1:4" x14ac:dyDescent="0.25">
      <c r="A22" t="s">
        <v>149</v>
      </c>
      <c r="B22" t="s">
        <v>89</v>
      </c>
      <c r="C22" t="s">
        <v>90</v>
      </c>
      <c r="D22" t="str">
        <f t="shared" si="0"/>
        <v>MRFC</v>
      </c>
    </row>
    <row r="23" spans="1:4" x14ac:dyDescent="0.25">
      <c r="A23" t="s">
        <v>225</v>
      </c>
      <c r="B23" t="s">
        <v>226</v>
      </c>
      <c r="C23" t="s">
        <v>227</v>
      </c>
      <c r="D23" t="s">
        <v>240</v>
      </c>
    </row>
    <row r="24" spans="1:4" x14ac:dyDescent="0.25">
      <c r="A24" t="s">
        <v>150</v>
      </c>
      <c r="B24" t="s">
        <v>91</v>
      </c>
      <c r="C24" t="s">
        <v>92</v>
      </c>
      <c r="D24" t="str">
        <f>LEFT(A24,1)&amp;"RFC"</f>
        <v>NRFC</v>
      </c>
    </row>
    <row r="25" spans="1:4" x14ac:dyDescent="0.25">
      <c r="A25" t="s">
        <v>151</v>
      </c>
      <c r="B25" t="s">
        <v>173</v>
      </c>
      <c r="C25" t="s">
        <v>93</v>
      </c>
      <c r="D25" t="str">
        <f>LEFT(A25,1)&amp;"RFC"</f>
        <v>ORFC</v>
      </c>
    </row>
    <row r="26" spans="1:4" x14ac:dyDescent="0.25">
      <c r="A26" t="s">
        <v>153</v>
      </c>
      <c r="B26" t="s">
        <v>96</v>
      </c>
      <c r="C26" t="s">
        <v>97</v>
      </c>
      <c r="D26" t="s">
        <v>235</v>
      </c>
    </row>
    <row r="27" spans="1:4" x14ac:dyDescent="0.25">
      <c r="A27" t="s">
        <v>152</v>
      </c>
      <c r="B27" t="s">
        <v>94</v>
      </c>
      <c r="C27" t="s">
        <v>95</v>
      </c>
      <c r="D27" t="str">
        <f>LEFT(A27,1)&amp;"RFC"</f>
        <v>ORFC</v>
      </c>
    </row>
    <row r="28" spans="1:4" x14ac:dyDescent="0.25">
      <c r="A28" t="s">
        <v>154</v>
      </c>
      <c r="B28" t="s">
        <v>98</v>
      </c>
      <c r="C28" t="s">
        <v>99</v>
      </c>
      <c r="D28" t="str">
        <f>LEFT(A28,1)&amp;"RFC"</f>
        <v>PRFC</v>
      </c>
    </row>
    <row r="29" spans="1:4" x14ac:dyDescent="0.25">
      <c r="A29" t="s">
        <v>241</v>
      </c>
      <c r="B29" t="s">
        <v>242</v>
      </c>
      <c r="C29" t="s">
        <v>243</v>
      </c>
      <c r="D29" t="s">
        <v>244</v>
      </c>
    </row>
    <row r="30" spans="1:4" x14ac:dyDescent="0.25">
      <c r="A30" t="s">
        <v>155</v>
      </c>
      <c r="B30" t="s">
        <v>100</v>
      </c>
      <c r="C30" t="s">
        <v>101</v>
      </c>
      <c r="D30" t="str">
        <f>LEFT(A30,1)&amp;"RFC"</f>
        <v>RRFC</v>
      </c>
    </row>
    <row r="31" spans="1:4" x14ac:dyDescent="0.25">
      <c r="A31" t="s">
        <v>104</v>
      </c>
      <c r="B31" t="s">
        <v>228</v>
      </c>
      <c r="C31" t="s">
        <v>105</v>
      </c>
      <c r="D31" t="s">
        <v>236</v>
      </c>
    </row>
    <row r="32" spans="1:4" x14ac:dyDescent="0.25">
      <c r="A32" t="s">
        <v>156</v>
      </c>
      <c r="B32" t="s">
        <v>102</v>
      </c>
      <c r="C32" t="s">
        <v>103</v>
      </c>
      <c r="D32" t="str">
        <f>LEFT(A32,1)&amp;"RFC"</f>
        <v>RRFC</v>
      </c>
    </row>
    <row r="33" spans="1:4" x14ac:dyDescent="0.25">
      <c r="A33" t="s">
        <v>157</v>
      </c>
      <c r="B33" t="s">
        <v>174</v>
      </c>
      <c r="C33" t="s">
        <v>106</v>
      </c>
      <c r="D33" t="s">
        <v>237</v>
      </c>
    </row>
    <row r="34" spans="1:4" x14ac:dyDescent="0.25">
      <c r="A34" t="s">
        <v>158</v>
      </c>
      <c r="B34" t="s">
        <v>107</v>
      </c>
      <c r="C34" t="s">
        <v>108</v>
      </c>
      <c r="D34" t="str">
        <f>LEFT(A34,1)&amp;"RFC"</f>
        <v>SRFC</v>
      </c>
    </row>
    <row r="35" spans="1:4" x14ac:dyDescent="0.25">
      <c r="A35" t="s">
        <v>159</v>
      </c>
      <c r="B35" t="s">
        <v>109</v>
      </c>
      <c r="C35" t="s">
        <v>110</v>
      </c>
      <c r="D35" t="str">
        <f>LEFT(A35,1)&amp;"RFC"</f>
        <v>SRFC</v>
      </c>
    </row>
    <row r="36" spans="1:4" x14ac:dyDescent="0.25">
      <c r="A36" t="s">
        <v>160</v>
      </c>
      <c r="B36" t="s">
        <v>111</v>
      </c>
      <c r="C36" t="s">
        <v>112</v>
      </c>
      <c r="D36" t="str">
        <f>LEFT(A36,1)&amp;"RFC"</f>
        <v>SRFC</v>
      </c>
    </row>
    <row r="37" spans="1:4" x14ac:dyDescent="0.25">
      <c r="A37" t="s">
        <v>167</v>
      </c>
      <c r="B37" t="s">
        <v>113</v>
      </c>
      <c r="C37" t="s">
        <v>114</v>
      </c>
      <c r="D37" t="s">
        <v>238</v>
      </c>
    </row>
    <row r="38" spans="1:4" x14ac:dyDescent="0.25">
      <c r="A38" t="s">
        <v>115</v>
      </c>
      <c r="B38" t="s">
        <v>116</v>
      </c>
      <c r="C38" t="s">
        <v>117</v>
      </c>
    </row>
    <row r="39" spans="1:4" x14ac:dyDescent="0.25">
      <c r="A39" t="s">
        <v>161</v>
      </c>
      <c r="B39" t="s">
        <v>118</v>
      </c>
      <c r="C39" t="s">
        <v>119</v>
      </c>
      <c r="D39" t="str">
        <f>LEFT(A39,1)&amp;"RFC"</f>
        <v>TRFC</v>
      </c>
    </row>
    <row r="40" spans="1:4" x14ac:dyDescent="0.25">
      <c r="A40" t="s">
        <v>162</v>
      </c>
      <c r="B40" t="s">
        <v>120</v>
      </c>
      <c r="C40" t="s">
        <v>121</v>
      </c>
      <c r="D40" t="str">
        <f>LEFT(A40,1)&amp;"RFC"</f>
        <v>TRFC</v>
      </c>
    </row>
    <row r="41" spans="1:4" x14ac:dyDescent="0.25">
      <c r="A41" t="s">
        <v>163</v>
      </c>
      <c r="B41" t="s">
        <v>122</v>
      </c>
      <c r="C41" t="s">
        <v>123</v>
      </c>
      <c r="D41" t="str">
        <f>LEFT(A41,1)&amp;"RFC"</f>
        <v>TRFC</v>
      </c>
    </row>
    <row r="42" spans="1:4" x14ac:dyDescent="0.25">
      <c r="A42" t="s">
        <v>223</v>
      </c>
      <c r="B42" t="s">
        <v>223</v>
      </c>
      <c r="C42" t="s">
        <v>224</v>
      </c>
      <c r="D42" t="s">
        <v>224</v>
      </c>
    </row>
    <row r="43" spans="1:4" x14ac:dyDescent="0.25">
      <c r="A43" t="s">
        <v>164</v>
      </c>
      <c r="B43" t="s">
        <v>124</v>
      </c>
      <c r="C43" t="s">
        <v>125</v>
      </c>
      <c r="D43" t="str">
        <f>LEFT(A43,1)&amp;"RFC"</f>
        <v>WRFC</v>
      </c>
    </row>
    <row r="44" spans="1:4" x14ac:dyDescent="0.25">
      <c r="A44" t="s">
        <v>126</v>
      </c>
      <c r="B44" t="s">
        <v>126</v>
      </c>
      <c r="C44" t="s">
        <v>127</v>
      </c>
      <c r="D44" t="str">
        <f>LEFT(A44,1)&amp;"RFC"</f>
        <v>WRFC</v>
      </c>
    </row>
    <row r="45" spans="1:4" x14ac:dyDescent="0.25">
      <c r="A45" t="s">
        <v>165</v>
      </c>
      <c r="B45" t="s">
        <v>128</v>
      </c>
      <c r="C45" t="s">
        <v>129</v>
      </c>
      <c r="D45" t="str">
        <f>LEFT(A45,1)&amp;"RFC"</f>
        <v>WRFC</v>
      </c>
    </row>
    <row r="46" spans="1:4" x14ac:dyDescent="0.25">
      <c r="A46" t="s">
        <v>132</v>
      </c>
      <c r="B46" t="s">
        <v>133</v>
      </c>
      <c r="C46" t="s">
        <v>134</v>
      </c>
    </row>
    <row r="47" spans="1:4" x14ac:dyDescent="0.25">
      <c r="A47" t="s">
        <v>166</v>
      </c>
      <c r="B47" t="s">
        <v>130</v>
      </c>
      <c r="C47" t="s">
        <v>131</v>
      </c>
      <c r="D47" t="str">
        <f>LEFT(A47,1)&amp;"RFC"</f>
        <v>WRFC</v>
      </c>
    </row>
    <row r="48" spans="1:4" x14ac:dyDescent="0.25">
      <c r="A48" t="s">
        <v>251</v>
      </c>
      <c r="B48" t="s">
        <v>252</v>
      </c>
      <c r="C48" t="s">
        <v>253</v>
      </c>
      <c r="D48" t="str">
        <f>LEFT(A48,1)&amp;"RFC"</f>
        <v>PRFC</v>
      </c>
    </row>
    <row r="49" spans="1:4" x14ac:dyDescent="0.25">
      <c r="A49" t="s">
        <v>254</v>
      </c>
      <c r="B49" t="s">
        <v>255</v>
      </c>
      <c r="C49" t="s">
        <v>257</v>
      </c>
      <c r="D49" t="s">
        <v>256</v>
      </c>
    </row>
    <row r="50" spans="1:4" x14ac:dyDescent="0.25">
      <c r="A50" t="s">
        <v>258</v>
      </c>
      <c r="B50" t="s">
        <v>259</v>
      </c>
      <c r="C50" t="s">
        <v>260</v>
      </c>
      <c r="D50" t="s">
        <v>261</v>
      </c>
    </row>
    <row r="51" spans="1:4" x14ac:dyDescent="0.25">
      <c r="A51" t="s">
        <v>263</v>
      </c>
      <c r="B51" t="s">
        <v>262</v>
      </c>
      <c r="C51" t="str">
        <f>B51</f>
        <v>DNQW</v>
      </c>
      <c r="D51" t="s">
        <v>262</v>
      </c>
    </row>
    <row r="52" spans="1:4" x14ac:dyDescent="0.25">
      <c r="A52" t="s">
        <v>264</v>
      </c>
      <c r="B52" t="s">
        <v>264</v>
      </c>
      <c r="C52" t="s">
        <v>265</v>
      </c>
      <c r="D52" t="s">
        <v>250</v>
      </c>
    </row>
  </sheetData>
  <sortState xmlns:xlrd2="http://schemas.microsoft.com/office/spreadsheetml/2017/richdata2" ref="A2:D47">
    <sortCondition ref="A2:A4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04E4-035A-4BFE-8619-B4B38DDC79FD}">
  <dimension ref="A1:G19"/>
  <sheetViews>
    <sheetView workbookViewId="0">
      <selection activeCell="G18" sqref="G18"/>
    </sheetView>
  </sheetViews>
  <sheetFormatPr defaultRowHeight="15" x14ac:dyDescent="0.25"/>
  <cols>
    <col min="1" max="1" width="14.140625" bestFit="1" customWidth="1"/>
    <col min="2" max="2" width="16.42578125" bestFit="1" customWidth="1"/>
    <col min="3" max="3" width="22.42578125" customWidth="1"/>
    <col min="5" max="5" width="16.42578125" bestFit="1" customWidth="1"/>
  </cols>
  <sheetData>
    <row r="1" spans="1:7" x14ac:dyDescent="0.25">
      <c r="A1" t="s">
        <v>186</v>
      </c>
      <c r="B1" t="s">
        <v>208</v>
      </c>
      <c r="C1" t="s">
        <v>209</v>
      </c>
      <c r="D1" t="s">
        <v>207</v>
      </c>
      <c r="E1" t="s">
        <v>216</v>
      </c>
      <c r="F1" t="s">
        <v>218</v>
      </c>
      <c r="G1" t="s">
        <v>229</v>
      </c>
    </row>
    <row r="2" spans="1:7" x14ac:dyDescent="0.25">
      <c r="A2" t="s">
        <v>187</v>
      </c>
      <c r="D2">
        <v>14</v>
      </c>
    </row>
    <row r="3" spans="1:7" x14ac:dyDescent="0.25">
      <c r="A3" t="s">
        <v>188</v>
      </c>
      <c r="D3">
        <v>13</v>
      </c>
    </row>
    <row r="4" spans="1:7" x14ac:dyDescent="0.25">
      <c r="A4" t="s">
        <v>189</v>
      </c>
      <c r="D4">
        <v>12</v>
      </c>
    </row>
    <row r="5" spans="1:7" x14ac:dyDescent="0.25">
      <c r="A5" t="s">
        <v>190</v>
      </c>
      <c r="D5">
        <v>11</v>
      </c>
    </row>
    <row r="6" spans="1:7" x14ac:dyDescent="0.25">
      <c r="A6" t="s">
        <v>191</v>
      </c>
      <c r="D6">
        <v>10</v>
      </c>
    </row>
    <row r="7" spans="1:7" x14ac:dyDescent="0.25">
      <c r="A7" t="s">
        <v>192</v>
      </c>
      <c r="D7">
        <v>9</v>
      </c>
    </row>
    <row r="8" spans="1:7" x14ac:dyDescent="0.25">
      <c r="A8" t="s">
        <v>193</v>
      </c>
      <c r="D8">
        <v>8</v>
      </c>
      <c r="F8">
        <v>40</v>
      </c>
    </row>
    <row r="9" spans="1:7" x14ac:dyDescent="0.25">
      <c r="A9" t="s">
        <v>194</v>
      </c>
      <c r="B9" t="s">
        <v>202</v>
      </c>
      <c r="C9" t="s">
        <v>211</v>
      </c>
      <c r="D9">
        <v>1</v>
      </c>
      <c r="E9" t="s">
        <v>202</v>
      </c>
      <c r="F9">
        <v>50</v>
      </c>
      <c r="G9" t="s">
        <v>202</v>
      </c>
    </row>
    <row r="10" spans="1:7" x14ac:dyDescent="0.25">
      <c r="A10" t="s">
        <v>195</v>
      </c>
      <c r="B10" t="s">
        <v>202</v>
      </c>
      <c r="C10" t="s">
        <v>211</v>
      </c>
      <c r="D10">
        <v>2</v>
      </c>
      <c r="E10" t="s">
        <v>202</v>
      </c>
      <c r="F10">
        <v>50</v>
      </c>
      <c r="G10" t="s">
        <v>202</v>
      </c>
    </row>
    <row r="11" spans="1:7" x14ac:dyDescent="0.25">
      <c r="A11" t="s">
        <v>195</v>
      </c>
      <c r="B11" t="s">
        <v>205</v>
      </c>
      <c r="C11" t="s">
        <v>210</v>
      </c>
      <c r="D11">
        <v>2</v>
      </c>
      <c r="E11" t="s">
        <v>217</v>
      </c>
      <c r="F11">
        <v>50</v>
      </c>
      <c r="G11" t="s">
        <v>230</v>
      </c>
    </row>
    <row r="12" spans="1:7" x14ac:dyDescent="0.25">
      <c r="A12" t="s">
        <v>196</v>
      </c>
      <c r="B12" t="s">
        <v>201</v>
      </c>
      <c r="C12" t="s">
        <v>201</v>
      </c>
      <c r="D12">
        <v>3</v>
      </c>
      <c r="E12" t="s">
        <v>201</v>
      </c>
      <c r="F12">
        <v>60</v>
      </c>
      <c r="G12" t="s">
        <v>201</v>
      </c>
    </row>
    <row r="13" spans="1:7" x14ac:dyDescent="0.25">
      <c r="A13" t="s">
        <v>197</v>
      </c>
      <c r="B13" t="s">
        <v>201</v>
      </c>
      <c r="C13" t="s">
        <v>201</v>
      </c>
      <c r="D13">
        <v>4</v>
      </c>
      <c r="E13" t="s">
        <v>201</v>
      </c>
      <c r="F13">
        <v>70</v>
      </c>
      <c r="G13" t="s">
        <v>201</v>
      </c>
    </row>
    <row r="14" spans="1:7" x14ac:dyDescent="0.25">
      <c r="A14" t="s">
        <v>198</v>
      </c>
      <c r="B14" t="s">
        <v>203</v>
      </c>
      <c r="C14" t="s">
        <v>203</v>
      </c>
      <c r="D14">
        <v>5</v>
      </c>
      <c r="E14" t="s">
        <v>203</v>
      </c>
      <c r="F14">
        <v>40</v>
      </c>
      <c r="G14" t="s">
        <v>203</v>
      </c>
    </row>
    <row r="15" spans="1:7" x14ac:dyDescent="0.25">
      <c r="A15" t="s">
        <v>199</v>
      </c>
      <c r="B15" t="s">
        <v>203</v>
      </c>
      <c r="C15" t="s">
        <v>203</v>
      </c>
      <c r="D15">
        <v>6</v>
      </c>
      <c r="E15" t="s">
        <v>203</v>
      </c>
      <c r="F15">
        <v>50</v>
      </c>
      <c r="G15" t="s">
        <v>203</v>
      </c>
    </row>
    <row r="16" spans="1:7" x14ac:dyDescent="0.25">
      <c r="A16" t="s">
        <v>199</v>
      </c>
      <c r="B16" t="s">
        <v>204</v>
      </c>
      <c r="C16" t="s">
        <v>204</v>
      </c>
      <c r="D16">
        <v>6</v>
      </c>
      <c r="E16" t="s">
        <v>204</v>
      </c>
      <c r="F16">
        <v>50</v>
      </c>
      <c r="G16" t="s">
        <v>204</v>
      </c>
    </row>
    <row r="17" spans="1:7" x14ac:dyDescent="0.25">
      <c r="A17" t="s">
        <v>199</v>
      </c>
      <c r="B17" t="s">
        <v>205</v>
      </c>
      <c r="C17" t="s">
        <v>210</v>
      </c>
      <c r="D17">
        <v>6</v>
      </c>
      <c r="E17" t="s">
        <v>217</v>
      </c>
      <c r="F17">
        <v>50</v>
      </c>
      <c r="G17" t="s">
        <v>230</v>
      </c>
    </row>
    <row r="18" spans="1:7" x14ac:dyDescent="0.25">
      <c r="A18" t="s">
        <v>200</v>
      </c>
      <c r="B18" t="s">
        <v>206</v>
      </c>
      <c r="C18" t="s">
        <v>212</v>
      </c>
      <c r="D18">
        <v>7</v>
      </c>
      <c r="E18" t="s">
        <v>206</v>
      </c>
      <c r="F18">
        <v>60</v>
      </c>
      <c r="G18" t="s">
        <v>231</v>
      </c>
    </row>
    <row r="19" spans="1:7" x14ac:dyDescent="0.25">
      <c r="A19" t="s">
        <v>200</v>
      </c>
      <c r="B19" t="s">
        <v>204</v>
      </c>
      <c r="C19" t="s">
        <v>204</v>
      </c>
      <c r="D19">
        <v>7</v>
      </c>
      <c r="E19" t="s">
        <v>204</v>
      </c>
      <c r="F19">
        <v>60</v>
      </c>
      <c r="G19" t="s">
        <v>204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45B62-0327-453D-A1C7-DF2B8CE88C29}">
  <dimension ref="A1:G3"/>
  <sheetViews>
    <sheetView showGridLines="0" workbookViewId="0">
      <selection activeCell="J11" sqref="J11"/>
    </sheetView>
  </sheetViews>
  <sheetFormatPr defaultRowHeight="15" x14ac:dyDescent="0.25"/>
  <cols>
    <col min="1" max="1" width="22.42578125" customWidth="1"/>
    <col min="2" max="2" width="11.7109375" bestFit="1" customWidth="1"/>
    <col min="3" max="3" width="10.7109375" bestFit="1" customWidth="1"/>
    <col min="4" max="5" width="13" customWidth="1"/>
  </cols>
  <sheetData>
    <row r="1" spans="1:7" x14ac:dyDescent="0.25">
      <c r="A1" t="s">
        <v>176</v>
      </c>
      <c r="B1" t="s">
        <v>177</v>
      </c>
      <c r="C1" t="s">
        <v>178</v>
      </c>
      <c r="D1" t="s">
        <v>213</v>
      </c>
      <c r="E1" t="s">
        <v>219</v>
      </c>
      <c r="F1" t="s">
        <v>221</v>
      </c>
      <c r="G1" t="s">
        <v>222</v>
      </c>
    </row>
    <row r="2" spans="1:7" x14ac:dyDescent="0.25">
      <c r="A2" t="s">
        <v>179</v>
      </c>
      <c r="B2" t="s">
        <v>184</v>
      </c>
      <c r="C2" t="s">
        <v>181</v>
      </c>
      <c r="D2" t="s">
        <v>214</v>
      </c>
      <c r="E2" t="s">
        <v>220</v>
      </c>
      <c r="F2" t="str">
        <f>D2</f>
        <v>#821C34</v>
      </c>
      <c r="G2" t="str">
        <f>C2</f>
        <v>#FFE602</v>
      </c>
    </row>
    <row r="3" spans="1:7" x14ac:dyDescent="0.25">
      <c r="A3" t="s">
        <v>180</v>
      </c>
      <c r="B3" t="s">
        <v>182</v>
      </c>
      <c r="C3" t="s">
        <v>183</v>
      </c>
      <c r="D3" t="s">
        <v>215</v>
      </c>
      <c r="E3" t="s">
        <v>220</v>
      </c>
      <c r="F3" t="str">
        <f>D3</f>
        <v>#AC0753</v>
      </c>
      <c r="G3" t="str">
        <f>B3</f>
        <v>#F8F9FF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pitch_anchors</vt:lpstr>
      <vt:lpstr>opponents</vt:lpstr>
      <vt:lpstr>comps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Allard</dc:creator>
  <cp:lastModifiedBy>Matt Allard</cp:lastModifiedBy>
  <dcterms:created xsi:type="dcterms:W3CDTF">2026-09-01T09:49:19Z</dcterms:created>
  <dcterms:modified xsi:type="dcterms:W3CDTF">2026-10-05T13:25:17Z</dcterms:modified>
</cp:coreProperties>
</file>
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294" documentId="8_{2B1AC583-5465-480E-8734-C5520FEC8B6F}" xr6:coauthVersionLast="47" xr6:coauthVersionMax="47" xr10:uidLastSave="{9CE760B2-D84A-4E94-A0D0-CBEF843C3A42}"/>
  <bookViews>
    <workbookView xWindow="12195" yWindow="1080" windowWidth="28155" windowHeight="17790" activeTab="1" xr2:uid="{F0613D2D-2141-47EF-8F8E-77ECD01D07A2}"/>
  </bookViews>
  <sheets>
    <sheet name="pitch_anchors" sheetId="1" r:id="rId1"/>
    <sheet name="opponents" sheetId="2" r:id="rId2"/>
    <sheet name="comps" sheetId="4" r:id="rId3"/>
    <sheet name="team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10" i="2"/>
  <c r="D12" i="2"/>
  <c r="D17" i="2"/>
  <c r="D18" i="2"/>
  <c r="D19" i="2"/>
  <c r="D20" i="2"/>
  <c r="D21" i="2"/>
  <c r="D22" i="2"/>
  <c r="D24" i="2"/>
  <c r="D25" i="2"/>
  <c r="D27" i="2"/>
  <c r="D28" i="2"/>
  <c r="D30" i="2"/>
  <c r="D32" i="2"/>
  <c r="D34" i="2"/>
  <c r="D35" i="2"/>
  <c r="D36" i="2"/>
  <c r="D39" i="2"/>
  <c r="D40" i="2"/>
  <c r="D41" i="2"/>
  <c r="D43" i="2"/>
  <c r="D44" i="2"/>
  <c r="D45" i="2"/>
  <c r="D47" i="2"/>
  <c r="D2" i="2"/>
  <c r="G3" i="3"/>
  <c r="G2" i="3"/>
  <c r="F3" i="3"/>
  <c r="F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<sst xmlns="http://schemas.openxmlformats.org/spreadsheetml/2006/main" count="360" uniqueCount="251">
  <si>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</si>
  <si>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</si>
  <si>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</si>
  <si>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</si>
  <si>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</si>
  <si>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</si>
  <si>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</si>
  <si>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</si>
  <si>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</si>
  <si>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</si>
  <si>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</si>
  <si>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</si>
  <si>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</si>
  <si>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</si>
  <si>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</si>
  <si>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</si>
  <si>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</si>
  <si>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</si>
  <si>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</si>
  <si>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</si>
  <si>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</si>
  <si>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</si>
  <si>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</si>
  <si>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</si>
  <si>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</si>
  <si>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</si>
  <si>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</si>
  <si>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</si>
  <si>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</si>
  <si>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</si>
  <si>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</si>
  <si>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</si>
  <si>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</si>
  <si>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</si>
  <si>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</si>
  <si>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</si>
  <si>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</si>
  <si>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</si>
  <si>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</si>
  <si>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</si>
  <si>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</si>
  <si>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</si>
  <si>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</si>
  <si>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</si>
  <si>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</si>
  <si>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</si>
  <si>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</si>
  <si>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</si>
  <si>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</si>
  <si>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</si>
  <si>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</si>
  <si>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</si>
  <si>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</si>
  <si>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</si>
  <si>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</si>
  <si>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</si>
  <si>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</si>
  <si>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</si>
  <si>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</si>
  <si>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</si>
  <si>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</si>
  <si>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</si>
  <si>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</si>
  <si>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</si>
  <si>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</si>
  <si>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</si>
  <si>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</si>
  <si>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</si>
  <si>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</si>
  <si>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</si>
  <si>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</si>
  <si>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</si>
  <si>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</si>
  <si>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</si>
  <si>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</si>
  <si>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</si>
  <si>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</si>
  <si>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</si>
  <si>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</si>
  <si>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</si>
  <si>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</si>
  <si>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</si>
  <si>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</si>
  <si>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</si>
  <si>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</si>
  <si>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</si>
  <si>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</si>
  <si>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</si>
  <si>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</si>
  <si>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</si>
  <si>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</si>
  <si>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</si>
  <si>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</si>
  <si>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</si>
  <si>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</si>
  <si>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</si>
  <si>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</si>
  <si>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</si>
  <si>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</si>
  <si>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</si>
  <si>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</si>
  <si>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</si>
  <si>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</si>
  <si>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</si>
  <si>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</si>
  <si>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</si>
  <si>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</si>
  <si>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</si>
  <si>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</si>
  <si>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</si>
  <si>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</si>
  <si>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</si>
  <si>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</si>
  <si>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</si>
  <si>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</si>
  <si>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</si>
  <si>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</si>
  <si>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</si>
  <si>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</si>
  <si>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</si>
  <si>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</si>
  <si>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</si>
  <si>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</si>
  <si>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</si>
  <si>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</si>
  <si>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</si>
  <si>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</si>
  <si>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</si>
  <si>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</si>
  <si>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</si>
  <si>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</si>
  <si>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</si>
  <si>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</si>
  <si>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</si>
  <si>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</si>
  <si>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</si>
  <si>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</si>
  <si>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</si>
  <si>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</si>
  <si>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</si>
  <si>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</si>
  <si>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</si>
  <si>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</si>
  <si>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</si>
  <si>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</si>
  <si>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</si>
  <si>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</si>
  <si>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</si>
  <si>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</si>
  <si>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</si>
  <si>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</si>
  <si>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</si>
  <si>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</si>
  <si>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</si>
  <si>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</si>
  <si>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</si>
  <si>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</si>
  <si>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</si>
  <si>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</si>
  <si>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</si>
  <si>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</si>
  <si>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</si>
  <si>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</si>
  <si>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</si>
  <si>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</si>
  <si>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</si>
  <si>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</si>
  <si>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</si>
  <si>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</si>
  <si>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</si>
  <si>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</si>
  <si>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</si>
  <si>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</si>
  <si>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</si>
  <si>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</si>
  <si>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</si>
  <si>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</si>
  <si>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</si>
  <si>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</si>
  <si>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</si>
  <si>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</si>
  <si>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</si>
  <si>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</si>
  <si>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</si>
  <si>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</si>
  <si>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</si>
  <si>
    <t>team_key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</si>
  <si>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</si>
  <si>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</si>
  <si>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</si>
  <si>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</si>
  <si>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</si>
  <si>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</si>
  <si>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</si>
  <si>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</si>
  <si>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</si>
  <si>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HURRICANES</t>
  </si>
  <si>
    <t>COLTS</t>
  </si>
  <si>
    <t>WARRIORS U12</t>
  </si>
  <si>
    <t>WARRIORS U14</t>
  </si>
  <si>
    <t>WARRIORS U16</t>
  </si>
  <si>
    <t>OBB</t>
  </si>
  <si>
    <t>BYC</t>
  </si>
  <si>
    <t>PUP</t>
  </si>
  <si>
    <t>HOB</t>
  </si>
  <si>
    <t>Berks KO</t>
  </si>
  <si>
    <t>U16GIRLSNATCUP</t>
  </si>
  <si>
    <t>list_sort</t>
  </si>
  <si>
    <t>comp_name</t>
  </si>
  <si>
    <t>comp_alias</t>
  </si>
  <si>
    <t>Berks Knockout Cup</t>
  </si>
  <si>
    <t>Berks Youth Cup</t>
  </si>
  <si>
    <t>Girls National Cup</t>
  </si>
  <si>
    <t>text_info</t>
  </si>
  <si>
    <t>#821C34</t>
  </si>
  <si>
    <t>#AC0753</t>
  </si>
  <si>
    <t>logo_id</t>
  </si>
  <si>
    <t>BKO</t>
  </si>
  <si>
    <t>match_length</t>
  </si>
  <si>
    <t>text_cr</t>
  </si>
  <si>
    <t>#1C0304</t>
  </si>
  <si>
    <t>text_bg</t>
  </si>
  <si>
    <t>text_fg</t>
  </si>
  <si>
    <t>Walcats</t>
  </si>
  <si>
    <t>WALCATS</t>
  </si>
  <si>
    <t>Minety RFC &amp; Cricklade RFC</t>
  </si>
  <si>
    <t>MRFC &amp; CRFC</t>
  </si>
  <si>
    <t>MINETY &amp; CRICKLADE</t>
  </si>
  <si>
    <t>RRFC &amp; ARFC</t>
  </si>
  <si>
    <t>file_comp</t>
  </si>
  <si>
    <t>BKOC</t>
  </si>
  <si>
    <t>GIRLS NATCUP</t>
  </si>
  <si>
    <t>slug_alias</t>
  </si>
  <si>
    <t>CNRFC</t>
  </si>
  <si>
    <t>E&amp;RRFC</t>
  </si>
  <si>
    <t>OQRFC</t>
  </si>
  <si>
    <t>R&amp;A</t>
  </si>
  <si>
    <t>RWBRFC</t>
  </si>
  <si>
    <t>ROSES</t>
  </si>
  <si>
    <t>LIONESSES</t>
  </si>
  <si>
    <t>M&amp;C</t>
  </si>
  <si>
    <t>Pewsey Vale RFC</t>
  </si>
  <si>
    <t>Pewsey Vale</t>
  </si>
  <si>
    <t>PEWSEY VALE</t>
  </si>
  <si>
    <t>PVRFC</t>
  </si>
  <si>
    <t>ARFC</t>
  </si>
  <si>
    <t>ANDOVER</t>
  </si>
  <si>
    <t>Andover RFC</t>
  </si>
  <si>
    <t>Devizes RFC</t>
  </si>
  <si>
    <t>DEVIZES</t>
  </si>
  <si>
    <t>DRFC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</si>
</sst>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workbookViewId="0">
      <pane ySplit="1" topLeftCell="A2" activePane="bottomLeft" state="frozen"/>
      <selection pane="bottomLeft" activeCell="H14" sqref="H14:H1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28.8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28.8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28.8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D47"/>
  <sheetViews>
    <sheetView showGridLines="0" tabSelected="1" workbookViewId="0">
      <selection activeCell="A13" sqref="A13"/>
    </sheetView>
  </sheetViews>
  <sheetFormatPr defaultRowHeight="15" x14ac:dyDescent="0.25"/>
  <cols>
    <col min="1" max="1" width="29.85546875" customWidth="1"/>
    <col min="2" max="2" width="15.7109375" bestFit="1" customWidth="1"/>
    <col min="3" max="3" width="24.42578125" bestFit="1" customWidth="1"/>
    <col min="4" max="4" width="10.28515625" bestFit="1" customWidth="1"/>
  </cols>
  <sheetData>
    <row r="1" spans="1:4" x14ac:dyDescent="0.25">
      <c r="A1" t="s">
        <v>54</v>
      </c>
      <c r="B1" t="s">
        <v>56</v>
      </c>
      <c r="C1" t="s">
        <v>55</v>
      </c>
      <c r="D1" t="s">
        <v>232</v>
      </c>
    </row>
    <row r="2" spans="1:4" x14ac:dyDescent="0.25">
      <c r="A2" t="s">
        <v>135</v>
      </c>
      <c r="B2" t="s">
        <v>58</v>
      </c>
      <c r="C2" t="s">
        <v>59</v>
      </c>
      <c r="D2" t="str">
        <f>LEFT(A2,1)&amp;"RFC"</f>
        <v>ARFC</v>
      </c>
    </row>
    <row r="3" spans="1:4" x14ac:dyDescent="0.25">
      <c r="A3" t="s">
        <v>247</v>
      </c>
      <c r="B3" t="s">
        <v>247</v>
      </c>
      <c r="C3" t="s">
        <v>246</v>
      </c>
      <c r="D3" t="s">
        <v>245</v>
      </c>
    </row>
    <row r="4" spans="1:4" x14ac:dyDescent="0.25">
      <c r="A4" t="s">
        <v>57</v>
      </c>
      <c r="B4" t="s">
        <v>60</v>
      </c>
      <c r="C4" t="s">
        <v>61</v>
      </c>
      <c r="D4" t="str">
        <f>LEFT(A4,1)&amp;"RFC"</f>
        <v>BRFC</v>
      </c>
    </row>
    <row r="5" spans="1:4" x14ac:dyDescent="0.25">
      <c r="A5" t="s">
        <v>136</v>
      </c>
      <c r="B5" t="s">
        <v>62</v>
      </c>
      <c r="C5" t="s">
        <v>63</v>
      </c>
      <c r="D5" t="str">
        <f>LEFT(A5,1)&amp;"RFC"</f>
        <v>BRFC</v>
      </c>
    </row>
    <row r="6" spans="1:4" x14ac:dyDescent="0.25">
      <c r="A6" t="s">
        <v>137</v>
      </c>
      <c r="B6" t="s">
        <v>175</v>
      </c>
      <c r="C6" t="s">
        <v>64</v>
      </c>
      <c r="D6" t="str">
        <f>LEFT(A6,1)&amp;"RFC"</f>
        <v>BRFC</v>
      </c>
    </row>
    <row r="7" spans="1:4" x14ac:dyDescent="0.25">
      <c r="A7" t="s">
        <v>138</v>
      </c>
      <c r="B7" t="s">
        <v>65</v>
      </c>
      <c r="C7" t="s">
        <v>66</v>
      </c>
      <c r="D7" t="str">
        <f>LEFT(A7,1)&amp;"RFC"</f>
        <v>BRFC</v>
      </c>
    </row>
    <row r="8" spans="1:4" x14ac:dyDescent="0.25">
      <c r="A8" t="s">
        <v>139</v>
      </c>
      <c r="B8" t="s">
        <v>67</v>
      </c>
      <c r="C8" t="s">
        <v>68</v>
      </c>
      <c r="D8" t="str">
        <f>LEFT(A8,1)&amp;"RFC"</f>
        <v>CRFC</v>
      </c>
    </row>
    <row r="9" spans="1:4" x14ac:dyDescent="0.25">
      <c r="A9" t="s">
        <v>140</v>
      </c>
      <c r="B9" t="s">
        <v>168</v>
      </c>
      <c r="C9" t="s">
        <v>69</v>
      </c>
      <c r="D9" t="s">
        <v>233</v>
      </c>
    </row>
    <row r="10" spans="1:4" x14ac:dyDescent="0.25">
      <c r="A10" t="s">
        <v>141</v>
      </c>
      <c r="B10" t="s">
        <v>70</v>
      </c>
      <c r="C10" t="s">
        <v>71</v>
      </c>
      <c r="D10" t="str">
        <f>LEFT(A10,1)&amp;"RFC"</f>
        <v>CRFC</v>
      </c>
    </row>
    <row r="11" spans="1:4" x14ac:dyDescent="0.25">
      <c r="A11" t="s">
        <v>170</v>
      </c>
      <c r="B11" t="s">
        <v>171</v>
      </c>
      <c r="C11" t="s">
        <v>172</v>
      </c>
      <c r="D11" t="s">
        <v>239</v>
      </c>
    </row>
    <row r="12" spans="1:4" x14ac:dyDescent="0.25">
      <c r="A12" t="s">
        <v>142</v>
      </c>
      <c r="B12" t="s">
        <v>72</v>
      </c>
      <c r="C12" t="s">
        <v>73</v>
      </c>
      <c r="D12" t="str">
        <f>LEFT(A12,1)&amp;"RFC"</f>
        <v>CRFC</v>
      </c>
    </row>
    <row r="13" spans="1:4" x14ac:dyDescent="0.25">
      <c r="A13" t="s">
        <v>248</v>
      </c>
      <c r="B13" t="s">
        <v>248</v>
      </c>
      <c r="C13" t="s">
        <v>249</v>
      </c>
      <c r="D13" t="s">
        <v>250</v>
      </c>
    </row>
    <row r="14" spans="1:4" x14ac:dyDescent="0.25">
      <c r="A14" t="s">
        <v>185</v>
      </c>
      <c r="B14" t="s">
        <v>74</v>
      </c>
      <c r="C14" t="s">
        <v>74</v>
      </c>
      <c r="D14" t="s">
        <v>74</v>
      </c>
    </row>
    <row r="15" spans="1:4" x14ac:dyDescent="0.25">
      <c r="A15" t="s">
        <v>143</v>
      </c>
      <c r="B15" t="s">
        <v>169</v>
      </c>
      <c r="C15" t="s">
        <v>75</v>
      </c>
      <c r="D15" t="s">
        <v>234</v>
      </c>
    </row>
    <row r="16" spans="1:4" x14ac:dyDescent="0.25">
      <c r="A16" t="s">
        <v>78</v>
      </c>
      <c r="B16" t="s">
        <v>79</v>
      </c>
      <c r="C16" t="s">
        <v>80</v>
      </c>
    </row>
    <row r="17" spans="1:4" x14ac:dyDescent="0.25">
      <c r="A17" t="s">
        <v>144</v>
      </c>
      <c r="B17" t="s">
        <v>76</v>
      </c>
      <c r="C17" t="s">
        <v>77</v>
      </c>
      <c r="D17" t="str">
        <f>LEFT(A17,1)&amp;"RFC"</f>
        <v>FRFC</v>
      </c>
    </row>
    <row r="18" spans="1:4" x14ac:dyDescent="0.25">
      <c r="A18" t="s">
        <v>145</v>
      </c>
      <c r="B18" t="s">
        <v>81</v>
      </c>
      <c r="C18" t="s">
        <v>82</v>
      </c>
      <c r="D18" t="str">
        <f>LEFT(A18,1)&amp;"RFC"</f>
        <v>FRFC</v>
      </c>
    </row>
    <row r="19" spans="1:4" x14ac:dyDescent="0.25">
      <c r="A19" t="s">
        <v>146</v>
      </c>
      <c r="B19" t="s">
        <v>83</v>
      </c>
      <c r="C19" t="s">
        <v>84</v>
      </c>
      <c r="D19" t="str">
        <f>LEFT(A19,1)&amp;"RFC"</f>
        <v>GRFC</v>
      </c>
    </row>
    <row r="20" spans="1:4" x14ac:dyDescent="0.25">
      <c r="A20" t="s">
        <v>147</v>
      </c>
      <c r="B20" t="s">
        <v>85</v>
      </c>
      <c r="C20" t="s">
        <v>86</v>
      </c>
      <c r="D20" t="str">
        <f>LEFT(A20,1)&amp;"RFC"</f>
        <v>GRFC</v>
      </c>
    </row>
    <row r="21" spans="1:4" x14ac:dyDescent="0.25">
      <c r="A21" t="s">
        <v>148</v>
      </c>
      <c r="B21" t="s">
        <v>87</v>
      </c>
      <c r="C21" t="s">
        <v>88</v>
      </c>
      <c r="D21" t="str">
        <f>LEFT(A21,1)&amp;"RFC"</f>
        <v>HRFC</v>
      </c>
    </row>
    <row r="22" spans="1:4" x14ac:dyDescent="0.25">
      <c r="A22" t="s">
        <v>149</v>
      </c>
      <c r="B22" t="s">
        <v>89</v>
      </c>
      <c r="C22" t="s">
        <v>90</v>
      </c>
      <c r="D22" t="str">
        <f>LEFT(A22,1)&amp;"RFC"</f>
        <v>MRFC</v>
      </c>
    </row>
    <row r="23" spans="1:4" x14ac:dyDescent="0.25">
      <c r="A23" t="s">
        <v>225</v>
      </c>
      <c r="B23" t="s">
        <v>226</v>
      </c>
      <c r="C23" t="s">
        <v>227</v>
      </c>
      <c r="D23" t="s">
        <v>240</v>
      </c>
    </row>
    <row r="24" spans="1:4" x14ac:dyDescent="0.25">
      <c r="A24" t="s">
        <v>150</v>
      </c>
      <c r="B24" t="s">
        <v>91</v>
      </c>
      <c r="C24" t="s">
        <v>92</v>
      </c>
      <c r="D24" t="str">
        <f>LEFT(A24,1)&amp;"RFC"</f>
        <v>NRFC</v>
      </c>
    </row>
    <row r="25" spans="1:4" x14ac:dyDescent="0.25">
      <c r="A25" t="s">
        <v>151</v>
      </c>
      <c r="B25" t="s">
        <v>173</v>
      </c>
      <c r="C25" t="s">
        <v>93</v>
      </c>
      <c r="D25" t="str">
        <f>LEFT(A25,1)&amp;"RFC"</f>
        <v>ORFC</v>
      </c>
    </row>
    <row r="26" spans="1:4" x14ac:dyDescent="0.25">
      <c r="A26" t="s">
        <v>153</v>
      </c>
      <c r="B26" t="s">
        <v>96</v>
      </c>
      <c r="C26" t="s">
        <v>97</v>
      </c>
      <c r="D26" t="s">
        <v>235</v>
      </c>
    </row>
    <row r="27" spans="1:4" x14ac:dyDescent="0.25">
      <c r="A27" t="s">
        <v>152</v>
      </c>
      <c r="B27" t="s">
        <v>94</v>
      </c>
      <c r="C27" t="s">
        <v>95</v>
      </c>
      <c r="D27" t="str">
        <f>LEFT(A27,1)&amp;"RFC"</f>
        <v>ORFC</v>
      </c>
    </row>
    <row r="28" spans="1:4" x14ac:dyDescent="0.25">
      <c r="A28" t="s">
        <v>154</v>
      </c>
      <c r="B28" t="s">
        <v>98</v>
      </c>
      <c r="C28" t="s">
        <v>99</v>
      </c>
      <c r="D28" t="str">
        <f>LEFT(A28,1)&amp;"RFC"</f>
        <v>PRFC</v>
      </c>
    </row>
    <row r="29" spans="1:4" x14ac:dyDescent="0.25">
      <c r="A29" t="s">
        <v>241</v>
      </c>
      <c r="B29" t="s">
        <v>242</v>
      </c>
      <c r="C29" t="s">
        <v>243</v>
      </c>
      <c r="D29" t="s">
        <v>244</v>
      </c>
    </row>
    <row r="30" spans="1:4" x14ac:dyDescent="0.25">
      <c r="A30" t="s">
        <v>155</v>
      </c>
      <c r="B30" t="s">
        <v>100</v>
      </c>
      <c r="C30" t="s">
        <v>101</v>
      </c>
      <c r="D30" t="str">
        <f>LEFT(A30,1)&amp;"RFC"</f>
        <v>RRFC</v>
      </c>
    </row>
    <row r="31" spans="1:4" x14ac:dyDescent="0.25">
      <c r="A31" t="s">
        <v>104</v>
      </c>
      <c r="B31" t="s">
        <v>228</v>
      </c>
      <c r="C31" t="s">
        <v>105</v>
      </c>
      <c r="D31" t="s">
        <v>236</v>
      </c>
    </row>
    <row r="32" spans="1:4" x14ac:dyDescent="0.25">
      <c r="A32" t="s">
        <v>156</v>
      </c>
      <c r="B32" t="s">
        <v>102</v>
      </c>
      <c r="C32" t="s">
        <v>103</v>
      </c>
      <c r="D32" t="str">
        <f>LEFT(A32,1)&amp;"RFC"</f>
        <v>RRFC</v>
      </c>
    </row>
    <row r="33" spans="1:4" x14ac:dyDescent="0.25">
      <c r="A33" t="s">
        <v>157</v>
      </c>
      <c r="B33" t="s">
        <v>174</v>
      </c>
      <c r="C33" t="s">
        <v>106</v>
      </c>
      <c r="D33" t="s">
        <v>237</v>
      </c>
    </row>
    <row r="34" spans="1:4" x14ac:dyDescent="0.25">
      <c r="A34" t="s">
        <v>158</v>
      </c>
      <c r="B34" t="s">
        <v>107</v>
      </c>
      <c r="C34" t="s">
        <v>108</v>
      </c>
      <c r="D34" t="str">
        <f>LEFT(A34,1)&amp;"RFC"</f>
        <v>SRFC</v>
      </c>
    </row>
    <row r="35" spans="1:4" x14ac:dyDescent="0.25">
      <c r="A35" t="s">
        <v>159</v>
      </c>
      <c r="B35" t="s">
        <v>109</v>
      </c>
      <c r="C35" t="s">
        <v>110</v>
      </c>
      <c r="D35" t="str">
        <f>LEFT(A35,1)&amp;"RFC"</f>
        <v>SRFC</v>
      </c>
    </row>
    <row r="36" spans="1:4" x14ac:dyDescent="0.25">
      <c r="A36" t="s">
        <v>160</v>
      </c>
      <c r="B36" t="s">
        <v>111</v>
      </c>
      <c r="C36" t="s">
        <v>112</v>
      </c>
      <c r="D36" t="str">
        <f>LEFT(A36,1)&amp;"RFC"</f>
        <v>SRFC</v>
      </c>
    </row>
    <row r="37" spans="1:4" x14ac:dyDescent="0.25">
      <c r="A37" t="s">
        <v>167</v>
      </c>
      <c r="B37" t="s">
        <v>113</v>
      </c>
      <c r="C37" t="s">
        <v>114</v>
      </c>
      <c r="D37" t="s">
        <v>238</v>
      </c>
    </row>
    <row r="38" spans="1:4" x14ac:dyDescent="0.25">
      <c r="A38" t="s">
        <v>115</v>
      </c>
      <c r="B38" t="s">
        <v>116</v>
      </c>
      <c r="C38" t="s">
        <v>117</v>
      </c>
    </row>
    <row r="39" spans="1:4" x14ac:dyDescent="0.25">
      <c r="A39" t="s">
        <v>161</v>
      </c>
      <c r="B39" t="s">
        <v>118</v>
      </c>
      <c r="C39" t="s">
        <v>119</v>
      </c>
      <c r="D39" t="str">
        <f>LEFT(A39,1)&amp;"RFC"</f>
        <v>TRFC</v>
      </c>
    </row>
    <row r="40" spans="1:4" x14ac:dyDescent="0.25">
      <c r="A40" t="s">
        <v>162</v>
      </c>
      <c r="B40" t="s">
        <v>120</v>
      </c>
      <c r="C40" t="s">
        <v>121</v>
      </c>
      <c r="D40" t="str">
        <f>LEFT(A40,1)&amp;"RFC"</f>
        <v>TRFC</v>
      </c>
    </row>
    <row r="41" spans="1:4" x14ac:dyDescent="0.25">
      <c r="A41" t="s">
        <v>163</v>
      </c>
      <c r="B41" t="s">
        <v>122</v>
      </c>
      <c r="C41" t="s">
        <v>123</v>
      </c>
      <c r="D41" t="str">
        <f>LEFT(A41,1)&amp;"RFC"</f>
        <v>TRFC</v>
      </c>
    </row>
    <row r="42" spans="1:4" x14ac:dyDescent="0.25">
      <c r="A42" t="s">
        <v>223</v>
      </c>
      <c r="B42" t="s">
        <v>223</v>
      </c>
      <c r="C42" t="s">
        <v>224</v>
      </c>
      <c r="D42" t="s">
        <v>224</v>
      </c>
    </row>
    <row r="43" spans="1:4" x14ac:dyDescent="0.25">
      <c r="A43" t="s">
        <v>164</v>
      </c>
      <c r="B43" t="s">
        <v>124</v>
      </c>
      <c r="C43" t="s">
        <v>125</v>
      </c>
      <c r="D43" t="str">
        <f>LEFT(A43,1)&amp;"RFC"</f>
        <v>WRFC</v>
      </c>
    </row>
    <row r="44" spans="1:4" x14ac:dyDescent="0.25">
      <c r="A44" t="s">
        <v>126</v>
      </c>
      <c r="B44" t="s">
        <v>126</v>
      </c>
      <c r="C44" t="s">
        <v>127</v>
      </c>
      <c r="D44" t="str">
        <f>LEFT(A44,1)&amp;"RFC"</f>
        <v>WRFC</v>
      </c>
    </row>
    <row r="45" spans="1:4" x14ac:dyDescent="0.25">
      <c r="A45" t="s">
        <v>165</v>
      </c>
      <c r="B45" t="s">
        <v>128</v>
      </c>
      <c r="C45" t="s">
        <v>129</v>
      </c>
      <c r="D45" t="str">
        <f>LEFT(A45,1)&amp;"RFC"</f>
        <v>WRFC</v>
      </c>
    </row>
    <row r="46" spans="1:4" x14ac:dyDescent="0.25">
      <c r="A46" t="s">
        <v>132</v>
      </c>
      <c r="B46" t="s">
        <v>133</v>
      </c>
      <c r="C46" t="s">
        <v>134</v>
      </c>
    </row>
    <row r="47" spans="1:4" x14ac:dyDescent="0.25">
      <c r="A47" t="s">
        <v>166</v>
      </c>
      <c r="B47" t="s">
        <v>130</v>
      </c>
      <c r="C47" t="s">
        <v>131</v>
      </c>
      <c r="D47" t="str">
        <f>LEFT(A47,1)&amp;"RFC"</f>
        <v>WRFC</v>
      </c>
    </row>
  </sheetData>
  <sortState xmlns:xlrd2="http://schemas.microsoft.com/office/spreadsheetml/2017/richdata2" ref="A2:D47">
    <sortCondition ref="A2:A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04E4-035A-4BFE-8619-B4B38DDC79FD}">
  <dimension ref="A1:G19"/>
  <sheetViews>
    <sheetView workbookViewId="0">
      <selection activeCell="G18" sqref="G18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22.42578125" customWidth="1"/>
    <col min="5" max="5" width="16.42578125" bestFit="1" customWidth="1"/>
  </cols>
  <sheetData>
    <row r="1" spans="1:7" x14ac:dyDescent="0.25">
      <c r="A1" t="s">
        <v>186</v>
      </c>
      <c r="B1" t="s">
        <v>208</v>
      </c>
      <c r="C1" t="s">
        <v>209</v>
      </c>
      <c r="D1" t="s">
        <v>207</v>
      </c>
      <c r="E1" t="s">
        <v>216</v>
      </c>
      <c r="F1" t="s">
        <v>218</v>
      </c>
      <c r="G1" t="s">
        <v>229</v>
      </c>
    </row>
    <row r="2" spans="1:7" x14ac:dyDescent="0.25">
      <c r="A2" t="s">
        <v>187</v>
      </c>
      <c r="D2">
        <v>14</v>
      </c>
    </row>
    <row r="3" spans="1:7" x14ac:dyDescent="0.25">
      <c r="A3" t="s">
        <v>188</v>
      </c>
      <c r="D3">
        <v>13</v>
      </c>
    </row>
    <row r="4" spans="1:7" x14ac:dyDescent="0.25">
      <c r="A4" t="s">
        <v>189</v>
      </c>
      <c r="D4">
        <v>12</v>
      </c>
    </row>
    <row r="5" spans="1:7" x14ac:dyDescent="0.25">
      <c r="A5" t="s">
        <v>190</v>
      </c>
      <c r="D5">
        <v>11</v>
      </c>
    </row>
    <row r="6" spans="1:7" x14ac:dyDescent="0.25">
      <c r="A6" t="s">
        <v>191</v>
      </c>
      <c r="D6">
        <v>10</v>
      </c>
    </row>
    <row r="7" spans="1:7" x14ac:dyDescent="0.25">
      <c r="A7" t="s">
        <v>192</v>
      </c>
      <c r="D7">
        <v>9</v>
      </c>
    </row>
    <row r="8" spans="1:7" x14ac:dyDescent="0.25">
      <c r="A8" t="s">
        <v>193</v>
      </c>
      <c r="D8">
        <v>8</v>
      </c>
      <c r="F8">
        <v>40</v>
      </c>
    </row>
    <row r="9" spans="1:7" x14ac:dyDescent="0.25">
      <c r="A9" t="s">
        <v>194</v>
      </c>
      <c r="B9" t="s">
        <v>202</v>
      </c>
      <c r="C9" t="s">
        <v>211</v>
      </c>
      <c r="D9">
        <v>1</v>
      </c>
      <c r="E9" t="s">
        <v>202</v>
      </c>
      <c r="F9">
        <v>50</v>
      </c>
      <c r="G9" t="s">
        <v>202</v>
      </c>
    </row>
    <row r="10" spans="1:7" x14ac:dyDescent="0.25">
      <c r="A10" t="s">
        <v>195</v>
      </c>
      <c r="B10" t="s">
        <v>202</v>
      </c>
      <c r="C10" t="s">
        <v>211</v>
      </c>
      <c r="D10">
        <v>2</v>
      </c>
      <c r="E10" t="s">
        <v>202</v>
      </c>
      <c r="F10">
        <v>50</v>
      </c>
      <c r="G10" t="s">
        <v>202</v>
      </c>
    </row>
    <row r="11" spans="1:7" x14ac:dyDescent="0.25">
      <c r="A11" t="s">
        <v>195</v>
      </c>
      <c r="B11" t="s">
        <v>205</v>
      </c>
      <c r="C11" t="s">
        <v>210</v>
      </c>
      <c r="D11">
        <v>2</v>
      </c>
      <c r="E11" t="s">
        <v>217</v>
      </c>
      <c r="F11">
        <v>50</v>
      </c>
      <c r="G11" t="s">
        <v>230</v>
      </c>
    </row>
    <row r="12" spans="1:7" x14ac:dyDescent="0.25">
      <c r="A12" t="s">
        <v>196</v>
      </c>
      <c r="B12" t="s">
        <v>201</v>
      </c>
      <c r="C12" t="s">
        <v>201</v>
      </c>
      <c r="D12">
        <v>3</v>
      </c>
      <c r="E12" t="s">
        <v>201</v>
      </c>
      <c r="F12">
        <v>60</v>
      </c>
      <c r="G12" t="s">
        <v>201</v>
      </c>
    </row>
    <row r="13" spans="1:7" x14ac:dyDescent="0.25">
      <c r="A13" t="s">
        <v>197</v>
      </c>
      <c r="B13" t="s">
        <v>201</v>
      </c>
      <c r="C13" t="s">
        <v>201</v>
      </c>
      <c r="D13">
        <v>4</v>
      </c>
      <c r="E13" t="s">
        <v>201</v>
      </c>
      <c r="F13">
        <v>70</v>
      </c>
      <c r="G13" t="s">
        <v>201</v>
      </c>
    </row>
    <row r="14" spans="1:7" x14ac:dyDescent="0.25">
      <c r="A14" t="s">
        <v>198</v>
      </c>
      <c r="B14" t="s">
        <v>203</v>
      </c>
      <c r="C14" t="s">
        <v>203</v>
      </c>
      <c r="D14">
        <v>5</v>
      </c>
      <c r="E14" t="s">
        <v>203</v>
      </c>
      <c r="F14">
        <v>40</v>
      </c>
      <c r="G14" t="s">
        <v>203</v>
      </c>
    </row>
    <row r="15" spans="1:7" x14ac:dyDescent="0.25">
      <c r="A15" t="s">
        <v>199</v>
      </c>
      <c r="B15" t="s">
        <v>203</v>
      </c>
      <c r="C15" t="s">
        <v>203</v>
      </c>
      <c r="D15">
        <v>6</v>
      </c>
      <c r="E15" t="s">
        <v>203</v>
      </c>
      <c r="F15">
        <v>50</v>
      </c>
      <c r="G15" t="s">
        <v>203</v>
      </c>
    </row>
    <row r="16" spans="1:7" x14ac:dyDescent="0.25">
      <c r="A16" t="s">
        <v>199</v>
      </c>
      <c r="B16" t="s">
        <v>204</v>
      </c>
      <c r="C16" t="s">
        <v>204</v>
      </c>
      <c r="D16">
        <v>6</v>
      </c>
      <c r="E16" t="s">
        <v>204</v>
      </c>
      <c r="F16">
        <v>50</v>
      </c>
      <c r="G16" t="s">
        <v>204</v>
      </c>
    </row>
    <row r="17" spans="1:7" x14ac:dyDescent="0.25">
      <c r="A17" t="s">
        <v>199</v>
      </c>
      <c r="B17" t="s">
        <v>205</v>
      </c>
      <c r="C17" t="s">
        <v>210</v>
      </c>
      <c r="D17">
        <v>6</v>
      </c>
      <c r="E17" t="s">
        <v>217</v>
      </c>
      <c r="F17">
        <v>50</v>
      </c>
      <c r="G17" t="s">
        <v>230</v>
      </c>
    </row>
    <row r="18" spans="1:7" x14ac:dyDescent="0.25">
      <c r="A18" t="s">
        <v>200</v>
      </c>
      <c r="B18" t="s">
        <v>206</v>
      </c>
      <c r="C18" t="s">
        <v>212</v>
      </c>
      <c r="D18">
        <v>7</v>
      </c>
      <c r="E18" t="s">
        <v>206</v>
      </c>
      <c r="F18">
        <v>60</v>
      </c>
      <c r="G18" t="s">
        <v>231</v>
      </c>
    </row>
    <row r="19" spans="1:7" x14ac:dyDescent="0.25">
      <c r="A19" t="s">
        <v>200</v>
      </c>
      <c r="B19" t="s">
        <v>204</v>
      </c>
      <c r="C19" t="s">
        <v>204</v>
      </c>
      <c r="D19">
        <v>7</v>
      </c>
      <c r="E19" t="s">
        <v>204</v>
      </c>
      <c r="F19">
        <v>60</v>
      </c>
      <c r="G19" t="s">
        <v>204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G3"/>
  <sheetViews>
    <sheetView showGridLines="0" workbookViewId="0">
      <selection activeCell="J11" sqref="J11"/>
    </sheetView>
  </sheetViews>
  <sheetFormatPr defaultRowHeight="15" x14ac:dyDescent="0.25"/>
  <cols>
    <col min="1" max="1" width="22.42578125" customWidth="1"/>
    <col min="2" max="2" width="11.7109375" bestFit="1" customWidth="1"/>
    <col min="3" max="3" width="10.7109375" bestFit="1" customWidth="1"/>
    <col min="4" max="5" width="13" customWidth="1"/>
  </cols>
  <sheetData>
    <row r="1" spans="1:7" x14ac:dyDescent="0.25">
      <c r="A1" t="s">
        <v>176</v>
      </c>
      <c r="B1" t="s">
        <v>177</v>
      </c>
      <c r="C1" t="s">
        <v>178</v>
      </c>
      <c r="D1" t="s">
        <v>213</v>
      </c>
      <c r="E1" t="s">
        <v>219</v>
      </c>
      <c r="F1" t="s">
        <v>221</v>
      </c>
      <c r="G1" t="s">
        <v>222</v>
      </c>
    </row>
    <row r="2" spans="1:7" x14ac:dyDescent="0.25">
      <c r="A2" t="s">
        <v>179</v>
      </c>
      <c r="B2" t="s">
        <v>184</v>
      </c>
      <c r="C2" t="s">
        <v>181</v>
      </c>
      <c r="D2" t="s">
        <v>214</v>
      </c>
      <c r="E2" t="s">
        <v>220</v>
      </c>
      <c r="F2" t="str">
        <f>D2</f>
        <v>#821C34</v>
      </c>
      <c r="G2" t="str">
        <f>C2</f>
        <v>#FFE602</v>
      </c>
    </row>
    <row r="3" spans="1:7" x14ac:dyDescent="0.25">
      <c r="A3" t="s">
        <v>180</v>
      </c>
      <c r="B3" t="s">
        <v>182</v>
      </c>
      <c r="C3" t="s">
        <v>183</v>
      </c>
      <c r="D3" t="s">
        <v>215</v>
      </c>
      <c r="E3" t="s">
        <v>220</v>
      </c>
      <c r="F3" t="str">
        <f>D3</f>
        <v>#AC0753</v>
      </c>
      <c r="G3" t="str">
        <f>B3</f>
        <v>#F8F9FF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pitch_anchors</vt:lpstr>
      <vt:lpstr>opponents</vt:lpstr>
      <vt:lpstr>comps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2026-09-17T14:23:49Z</dcterms:modified>
</cp:coreProperties>
</file>